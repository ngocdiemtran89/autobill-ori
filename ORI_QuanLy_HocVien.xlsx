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ƯỚNG DẪN" sheetId="1" state="visible" r:id="rId1"/>
    <sheet name="Dashboard" sheetId="2" state="visible" r:id="rId2"/>
    <sheet name="Học Thử" sheetId="3" state="visible" r:id="rId3"/>
    <sheet name="HỌC VIÊN" sheetId="4" state="visible" r:id="rId4"/>
    <sheet name="CHUYÊN CẦN" sheetId="5" state="visible" r:id="rId5"/>
    <sheet name="NHẬT KÝ CSKH" sheetId="6" state="visible" r:id="rId6"/>
    <sheet name="LOG VẮNG" sheetId="7" state="visible" r:id="rId7"/>
    <sheet name="DANHMUC" sheetId="8" state="visible" r:id="rId8"/>
  </sheets>
  <definedNames>
    <definedName name="_xlnm._FilterDatabase" localSheetId="2" hidden="1">'Học Thử'!$A$2:$L$302</definedName>
    <definedName name="_xlnm._FilterDatabase" localSheetId="3" hidden="1">'HỌC VIÊN'!$A$3:$AQ$203</definedName>
    <definedName name="_xlnm._FilterDatabase" localSheetId="4" hidden="1">'CHUYÊN CẦN'!$A$2:$O$202</definedName>
    <definedName name="_xlnm._FilterDatabase" localSheetId="5" hidden="1">'NHẬT KÝ CSKH'!$A$2:$G$502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9"/>
    </font>
    <font>
      <name val="Arial"/>
      <b val="1"/>
      <color rgb="00C9A24B"/>
      <sz val="14"/>
    </font>
    <font>
      <name val="Arial"/>
      <b val="1"/>
      <color rgb="00FFFFFF"/>
      <sz val="12"/>
    </font>
    <font>
      <name val="Arial"/>
      <color rgb="00333333"/>
      <sz val="10"/>
    </font>
    <font>
      <name val="Arial"/>
      <b val="1"/>
      <sz val="10"/>
    </font>
    <font>
      <name val="Arial"/>
      <i val="1"/>
      <sz val="10"/>
    </font>
    <font>
      <name val="Arial"/>
      <b val="1"/>
      <color rgb="00FFFFFF"/>
      <sz val="11"/>
    </font>
    <font>
      <name val="Arial"/>
      <b val="1"/>
      <color rgb="000F2C4C"/>
      <sz val="9"/>
    </font>
    <font>
      <name val="Arial"/>
      <b val="1"/>
      <color rgb="00FFFFFF"/>
      <sz val="9"/>
    </font>
    <font>
      <name val="Arial"/>
      <i val="1"/>
      <color rgb="009C0006"/>
      <sz val="9"/>
    </font>
    <font>
      <name val="Arial"/>
      <b val="1"/>
      <color rgb="00C9A24B"/>
      <sz val="10"/>
    </font>
    <font>
      <name val="Arial"/>
      <b val="1"/>
      <color rgb="00FFFFFF"/>
      <sz val="26"/>
    </font>
    <font>
      <name val="Arial"/>
      <b val="1"/>
      <color rgb="00C9A24B"/>
      <sz val="11"/>
    </font>
    <font>
      <name val="Arial"/>
      <b val="1"/>
    </font>
  </fonts>
  <fills count="12">
    <fill>
      <patternFill/>
    </fill>
    <fill>
      <patternFill patternType="gray125"/>
    </fill>
    <fill>
      <patternFill patternType="solid">
        <fgColor rgb="000F2C4C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1F4E79"/>
      </patternFill>
    </fill>
    <fill>
      <patternFill patternType="solid">
        <fgColor rgb="00FFF7E0"/>
      </patternFill>
    </fill>
    <fill>
      <patternFill patternType="solid">
        <fgColor rgb="008A6D1F"/>
      </patternFill>
    </fill>
    <fill>
      <patternFill patternType="solid">
        <fgColor rgb="00C9A24B"/>
      </patternFill>
    </fill>
    <fill>
      <patternFill patternType="solid">
        <fgColor rgb="009C0006"/>
      </patternFill>
    </fill>
    <fill>
      <patternFill patternType="solid">
        <fgColor rgb="00B25E00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ck">
        <color rgb="00C9A24B"/>
      </bottom>
    </border>
    <border>
      <left style="thick">
        <color rgb="00C9A24B"/>
      </left>
      <right style="thin">
        <color rgb="00BFBFBF"/>
      </right>
      <top style="thick">
        <color rgb="00C9A24B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ck">
        <color rgb="00C9A24B"/>
      </top>
      <bottom style="thin">
        <color rgb="00BFBFBF"/>
      </bottom>
    </border>
    <border>
      <left style="thin">
        <color rgb="00BFBFBF"/>
      </left>
      <right style="thick">
        <color rgb="00C9A24B"/>
      </right>
      <top style="thick">
        <color rgb="00C9A24B"/>
      </top>
      <bottom style="thin">
        <color rgb="00BFBFBF"/>
      </bottom>
    </border>
    <border>
      <left style="thick">
        <color rgb="00C9A24B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ck">
        <color rgb="00C9A24B"/>
      </right>
      <top style="thin">
        <color rgb="00BFBFBF"/>
      </top>
      <bottom style="thin">
        <color rgb="00BFBFBF"/>
      </bottom>
    </border>
    <border>
      <left style="thick">
        <color rgb="00C9A24B"/>
      </left>
      <right style="thin">
        <color rgb="00BFBFBF"/>
      </right>
      <top style="thin">
        <color rgb="00BFBFBF"/>
      </top>
      <bottom style="thick">
        <color rgb="00C9A24B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ck">
        <color rgb="00C9A24B"/>
      </bottom>
    </border>
    <border>
      <left style="thin">
        <color rgb="00BFBFBF"/>
      </left>
      <right style="thick">
        <color rgb="00C9A24B"/>
      </right>
      <top style="thin">
        <color rgb="00BFBFBF"/>
      </top>
      <bottom style="thick">
        <color rgb="00C9A24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2" applyAlignment="1" pivotButton="0" quotePrefix="0" xfId="0">
      <alignment horizontal="left" vertical="center" indent="1"/>
    </xf>
    <xf numFmtId="0" fontId="0" fillId="2" borderId="2" pivotButton="0" quotePrefix="0" xfId="0"/>
    <xf numFmtId="0" fontId="5" fillId="2" borderId="0" applyAlignment="1" pivotButton="0" quotePrefix="0" xfId="0">
      <alignment vertical="center" indent="1"/>
    </xf>
    <xf numFmtId="0" fontId="6" fillId="0" borderId="0" applyAlignment="1" pivotButton="0" quotePrefix="0" xfId="0">
      <alignment vertical="center" wrapText="1" indent="1"/>
    </xf>
    <xf numFmtId="0" fontId="7" fillId="3" borderId="0" applyAlignment="1" pivotButton="0" quotePrefix="0" xfId="0">
      <alignment vertical="center" indent="1"/>
    </xf>
    <xf numFmtId="0" fontId="7" fillId="4" borderId="0" applyAlignment="1" pivotButton="0" quotePrefix="0" xfId="0">
      <alignment vertical="center" indent="1"/>
    </xf>
    <xf numFmtId="0" fontId="7" fillId="5" borderId="0" applyAlignment="1" pivotButton="0" quotePrefix="0" xfId="0">
      <alignment vertical="center" indent="1"/>
    </xf>
    <xf numFmtId="0" fontId="13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3" fillId="10" borderId="3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7" pivotButton="0" quotePrefix="0" xfId="0"/>
    <xf numFmtId="0" fontId="14" fillId="10" borderId="6" applyAlignment="1" pivotButton="0" quotePrefix="0" xfId="0">
      <alignment horizontal="center" vertical="center"/>
    </xf>
    <xf numFmtId="0" fontId="14" fillId="11" borderId="6" applyAlignment="1" pivotButton="0" quotePrefix="0" xfId="0">
      <alignment horizontal="center" vertical="center"/>
    </xf>
    <xf numFmtId="166" fontId="14" fillId="8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5" fillId="2" borderId="0" applyAlignment="1" pivotButton="0" quotePrefix="0" xfId="0">
      <alignment vertical="center" indent="1"/>
    </xf>
    <xf numFmtId="0" fontId="1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3" fontId="0" fillId="0" borderId="1" pivotButton="0" quotePrefix="0" xfId="0"/>
    <xf numFmtId="0" fontId="7" fillId="9" borderId="1" pivotButton="0" quotePrefix="0" xfId="0"/>
    <xf numFmtId="0" fontId="16" fillId="9" borderId="1" pivotButton="0" quotePrefix="0" xfId="0"/>
    <xf numFmtId="3" fontId="16" fillId="9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8" fillId="7" borderId="1" pivotButton="0" quotePrefix="0" xfId="0"/>
    <xf numFmtId="165" fontId="8" fillId="7" borderId="1" pivotButton="0" quotePrefix="0" xfId="0"/>
    <xf numFmtId="165" fontId="2" fillId="0" borderId="1" pivotButton="0" quotePrefix="0" xfId="0"/>
    <xf numFmtId="0" fontId="9" fillId="2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/>
    </xf>
    <xf numFmtId="165" fontId="8" fillId="7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3" fontId="8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8" fillId="7" borderId="0" pivotButton="0" quotePrefix="0" xfId="0"/>
    <xf numFmtId="165" fontId="8" fillId="7" borderId="0" pivotButton="0" quotePrefix="0" xfId="0"/>
    <xf numFmtId="0" fontId="1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6FA"/>
        </patternFill>
      </fill>
    </dxf>
    <dxf>
      <font>
        <name val="Arial"/>
        <color rgb="00808080"/>
      </font>
      <fill>
        <patternFill patternType="solid">
          <fgColor rgb="00E7E6E6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7F60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006100"/>
        <sz val="9"/>
      </font>
      <fill>
        <patternFill patternType="solid">
          <fgColor rgb="00C6EFCE"/>
        </patternFill>
      </fill>
    </dxf>
    <dxf>
      <font>
        <name val="Arial"/>
        <color rgb="009C0006"/>
        <sz val="9"/>
      </font>
      <fill>
        <patternFill patternType="solid">
          <fgColor rgb="00FFC7CE"/>
        </patternFill>
      </fill>
    </dxf>
    <dxf>
      <font>
        <name val="Arial"/>
        <sz val="9"/>
      </font>
      <fill>
        <patternFill patternType="solid">
          <fgColor rgb="00FFD9A0"/>
        </patternFill>
      </fill>
    </dxf>
    <dxf>
      <font>
        <name val="Arial"/>
        <color rgb="00808080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4B"/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1" ht="30" customHeight="1">
      <c r="A1" s="1" t="inlineStr">
        <is>
          <t>🎓 ORI ACADEMY   ·   HƯỚNG DẪN SỬ DỤNG</t>
        </is>
      </c>
      <c r="B1" s="2" t="n"/>
    </row>
    <row r="3" ht="24" customHeight="1">
      <c r="B3" s="3" t="inlineStr">
        <is>
          <t>🧭 TRIẾT LÝ: BẮT TÍN HIỆU NGHỈ SỚM, KHÔNG ĐỢI HẾT HẠN</t>
        </is>
      </c>
    </row>
    <row r="4">
      <c r="B4" s="4" t="inlineStr">
        <is>
          <t>Học viên quyết định bỏ từ buổi vắng thứ 3 — trước khi hết hạn hàng tháng. File này bắt tín hiệu đó bằng cột MỨC RỦI RO.</t>
        </is>
      </c>
    </row>
    <row r="5" ht="24" customHeight="1">
      <c r="B5" s="3" t="inlineStr">
        <is>
          <t>📁 CÁC SHEET</t>
        </is>
      </c>
    </row>
    <row r="6">
      <c r="B6" s="4" t="inlineStr">
        <is>
          <t>• Học Thử — phễu tuyển sinh, theo dõi chốt đăng ký + người giới thiệu.</t>
        </is>
      </c>
    </row>
    <row r="7">
      <c r="B7" s="4" t="inlineStr">
        <is>
          <t>• HỌC VIÊN — hồ sơ chính. Cột O–S TỰ TÍNH: Vắng tháng này · Liên hệ gần nhất · Ngày còn lại · Điểm &amp; Mức rủi ro.</t>
        </is>
      </c>
    </row>
    <row r="8">
      <c r="B8" s="4" t="inlineStr">
        <is>
          <t>• CHUYÊN CẦN — số buổi vắng mỗi tháng (tự cộng từ LOG VẮNG khi giáo viên bấm Form).</t>
        </is>
      </c>
    </row>
    <row r="9">
      <c r="B9" s="4" t="inlineStr">
        <is>
          <t>• NHẬT KÝ CSKH — gọi rồi PHẢI ghi. Không ghi = coi như chưa gọi.</t>
        </is>
      </c>
    </row>
    <row r="10">
      <c r="B10" s="4" t="inlineStr">
        <is>
          <t>• Dashboard — 4 thẻ KPI + Giá trị tái ký theo tháng + Hiệu quả nguồn + tỉ lệ nghỉ giữa chừng.</t>
        </is>
      </c>
    </row>
    <row r="11">
      <c r="B11" s="4" t="inlineStr">
        <is>
          <t>• LOG VẮNG — nơi Google Form đổ dữ liệu vắng vào (xem mục kết nối bên dưới).</t>
        </is>
      </c>
    </row>
    <row r="12">
      <c r="B12" s="4" t="inlineStr">
        <is>
          <t>• DANHMUC — nguồn cho mọi dropdown.</t>
        </is>
      </c>
    </row>
    <row r="13" ht="24" customHeight="1">
      <c r="B13" s="3" t="inlineStr">
        <is>
          <t>🎯 CỘT MỨC RỦI RO (gộp 4 tín hiệu thành 1 quyết định)</t>
        </is>
      </c>
    </row>
    <row r="14">
      <c r="B14" s="4" t="inlineStr">
        <is>
          <t>Vắng ≥3 buổi/tháng (+2) · Còn nợ học phí (+2) · Còn ≤30 ngày hết hạn (+1) · &gt;60 ngày không ai liên hệ (+1).</t>
        </is>
      </c>
    </row>
    <row r="15" ht="20" customHeight="1">
      <c r="B15" s="5" t="inlineStr">
        <is>
          <t>🔴 ≥3 điểm = CAO → gọi ngay hôm nay.   🟡 1–2 điểm = TRUNG BÌNH → theo dõi.   🟢 0 điểm = THẤP.</t>
        </is>
      </c>
    </row>
    <row r="16" ht="24" customHeight="1">
      <c r="B16" s="3" t="inlineStr">
        <is>
          <t>🎨 QUY ƯỚC MÀU TỰ ĐỘNG</t>
        </is>
      </c>
    </row>
    <row r="17" ht="20" customHeight="1">
      <c r="B17" s="6" t="inlineStr">
        <is>
          <t>🟡 VÀNG = Bảo lưu / Tạm dừng, HOẶC sắp hết hạn ≤3 tháng, HOẶC vắng 2 buổi.</t>
        </is>
      </c>
    </row>
    <row r="18" ht="20" customHeight="1">
      <c r="B18" s="5" t="inlineStr">
        <is>
          <t>🔴 ĐỎ = Học xong, HOẶC đã quá hạn, HOẶC vắng ≥3 buổi, HOẶC rủi ro CAO.</t>
        </is>
      </c>
    </row>
    <row r="19" ht="20" customHeight="1">
      <c r="B19" s="7" t="inlineStr">
        <is>
          <t>🟢 XANH = Học phí 'Đã đóng' / rủi ro THẤP.</t>
        </is>
      </c>
    </row>
    <row r="20" ht="24" customHeight="1">
      <c r="B20" s="3" t="inlineStr">
        <is>
          <t>🔑 QUY TẮC MÃ HV (bắt buộc)</t>
        </is>
      </c>
    </row>
    <row r="21">
      <c r="B21" s="4" t="inlineStr">
        <is>
          <t>Mọi mã dài bằng nhau: ORI001 … ORI200 (đã điền sẵn cột A của HỌC VIÊN &amp; CHUYÊN CẦN). Công thức đếm vắng dựa vào điều này.</t>
        </is>
      </c>
    </row>
    <row r="22" ht="24" customHeight="1">
      <c r="B22" s="3" t="inlineStr">
        <is>
          <t>🤖 KẾT NỐI GOOGLE FORM ĐIỂM DANH (tùy chọn)</t>
        </is>
      </c>
    </row>
    <row r="23">
      <c r="B23" s="4" t="inlineStr">
        <is>
          <t>1. Tạo Form 4 câu: Lớp (chọn) · Ngày buổi học (Date) · Học viên vắng (checkbox, chọn 'ORIxxx - Tên') · Giáo viên (chọn).</t>
        </is>
      </c>
    </row>
    <row r="24">
      <c r="B24" s="4" t="inlineStr">
        <is>
          <t>2. Form ▸ Responses ▸ biểu tượng Sheets ▸ Select existing spreadsheet ▸ chọn file này.</t>
        </is>
      </c>
    </row>
    <row r="25">
      <c r="B25" s="4" t="inlineStr">
        <is>
          <t>3. Đổi tên tab Google vừa tạo thành 'LOG VẮNG', xóa tab LOG VẮNG mẫu. Cột: A=Timestamp B=Lớp C=Ngày buổi học D=Học viên vắng E=Giáo viên.</t>
        </is>
      </c>
    </row>
    <row r="26">
      <c r="B26" s="4" t="inlineStr">
        <is>
          <t>→ Không dùng Form? Xóa công thức vùng C:N của CHUYÊN CẦN rồi gõ số vắng tay. Mọi thứ khác chạy nguyên.</t>
        </is>
      </c>
    </row>
    <row r="27" ht="24" customHeight="1">
      <c r="B27" s="3" t="inlineStr">
        <is>
          <t>🔔 TELEGRAM (file ORI_TelegramBot.gs kèm theo)</t>
        </is>
      </c>
    </row>
    <row r="28">
      <c r="B28" s="4" t="inlineStr">
        <is>
          <t>Extensions ▸ Apps Script ▸ dán code ▸ điền BOT_TOKEN + CHAT_ID ▸ chạy kiemTraKetNoi() để test ▸ chạy caiDatTrigger() 1 lần.</t>
        </is>
      </c>
    </row>
    <row r="29">
      <c r="B29" s="4" t="inlineStr">
        <is>
          <t>Bot gửi: (1) tức thì khi ai chạm 2 buổi vắng; (2) 8h sáng thứ 2 — CAO/sắp hết hạn/vắng nhiều. Không có gì để báo thì im lặng.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4B"/>
    <outlinePr summaryBelow="1" summaryRight="1"/>
    <pageSetUpPr/>
  </sheetPr>
  <dimension ref="A1:R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4" customWidth="1" min="3" max="3"/>
    <col width="1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30" customHeight="1">
      <c r="A1" s="1" t="inlineStr">
        <is>
          <t>🎓 ORI ACADEMY   ·   DASHBOARD ĐIỀU HÀNH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B3" s="8" t="inlineStr">
        <is>
          <t>🟢 ĐANG HỌC</t>
        </is>
      </c>
      <c r="C3" s="9" t="n"/>
      <c r="D3" s="10" t="n"/>
      <c r="F3" s="11" t="inlineStr">
        <is>
          <t>🔴 RỦI RO CAO</t>
        </is>
      </c>
      <c r="G3" s="9" t="n"/>
      <c r="H3" s="10" t="n"/>
      <c r="J3" s="12" t="inlineStr">
        <is>
          <t>⏰ SẮP HẾT HẠN ≤30N</t>
        </is>
      </c>
      <c r="K3" s="9" t="n"/>
      <c r="L3" s="10" t="n"/>
      <c r="N3" s="13" t="inlineStr">
        <is>
          <t>📉 NGHỈ GIỮA CHỪNG</t>
        </is>
      </c>
      <c r="O3" s="9" t="n"/>
      <c r="P3" s="10" t="n"/>
    </row>
    <row r="4" ht="26" customHeight="1">
      <c r="B4" s="14">
        <f>COUNTIF('HỌC VIÊN'!$N$4:$N$203,"Đang học")</f>
        <v/>
      </c>
      <c r="C4" s="15" t="n"/>
      <c r="D4" s="16" t="n"/>
      <c r="F4" s="17">
        <f>COUNTIF('HỌC VIÊN'!$S$4:$S$203,"CAO")</f>
        <v/>
      </c>
      <c r="G4" s="15" t="n"/>
      <c r="H4" s="16" t="n"/>
      <c r="J4" s="18">
        <f>COUNTIFS('HỌC VIÊN'!$N$4:$N$203,"Đang học",'HỌC VIÊN'!$Q$4:$Q$203,"&gt;=0",'HỌC VIÊN'!$Q$4:$Q$203,"&lt;=30")</f>
        <v/>
      </c>
      <c r="K4" s="15" t="n"/>
      <c r="L4" s="16" t="n"/>
      <c r="N4" s="19">
        <f>IFERROR(COUNTIF('HỌC VIÊN'!$N$4:$N$203,"Nghỉ học")/COUNTA('HỌC VIÊN'!$B$4:$B$203),0)</f>
        <v/>
      </c>
      <c r="O4" s="15" t="n"/>
      <c r="P4" s="16" t="n"/>
    </row>
    <row r="5" ht="26" customHeight="1">
      <c r="B5" s="20" t="n"/>
      <c r="C5" s="21" t="n"/>
      <c r="D5" s="22" t="n"/>
      <c r="F5" s="20" t="n"/>
      <c r="G5" s="21" t="n"/>
      <c r="H5" s="22" t="n"/>
      <c r="J5" s="20" t="n"/>
      <c r="K5" s="21" t="n"/>
      <c r="L5" s="22" t="n"/>
      <c r="N5" s="20" t="n"/>
      <c r="O5" s="21" t="n"/>
      <c r="P5" s="22" t="n"/>
    </row>
    <row r="7" ht="22" customHeight="1">
      <c r="B7" s="23" t="inlineStr">
        <is>
          <t>💰 GIÁ TRỊ CẦN TÁI KÝ THEO THÁNG (2026) — chạy chiến dịch trước 2 tháng</t>
        </is>
      </c>
      <c r="K7" s="23" t="inlineStr">
        <is>
          <t>📊 PHÂN BỐ TRẠNG THÁI</t>
        </is>
      </c>
    </row>
    <row r="8">
      <c r="B8" s="24" t="inlineStr">
        <is>
          <t>Tháng</t>
        </is>
      </c>
      <c r="C8" s="24" t="inlineStr">
        <is>
          <t>Số HĐ hết hạn</t>
        </is>
      </c>
      <c r="D8" s="24" t="inlineStr">
        <is>
          <t>Giá trị (VNĐ)</t>
        </is>
      </c>
      <c r="K8" s="25" t="inlineStr">
        <is>
          <t>Đang học</t>
        </is>
      </c>
      <c r="L8" s="26">
        <f>COUNTIF('HỌC VIÊN'!$N$4:$N$203,"Đang học")</f>
        <v/>
      </c>
      <c r="M8" s="15" t="n"/>
    </row>
    <row r="9">
      <c r="B9" s="25" t="inlineStr">
        <is>
          <t>Tháng 1</t>
        </is>
      </c>
      <c r="C9" s="15">
        <f>SUMPRODUCT((YEAR(IF(ISNUMBER('HỌC VIÊN'!$I$4:$I$203),'HỌC VIÊN'!$I$4:$I$203,0))=2026)*(MONTH(IF(ISNUMBER('HỌC VIÊN'!$I$4:$I$203),'HỌC VIÊN'!$I$4:$I$203,0))=1))</f>
        <v/>
      </c>
      <c r="D9" s="27">
        <f>SUMPRODUCT((YEAR(IF(ISNUMBER('HỌC VIÊN'!$I$4:$I$203),'HỌC VIÊN'!$I$4:$I$203,0))=2026)*(MONTH(IF(ISNUMBER('HỌC VIÊN'!$I$4:$I$203),'HỌC VIÊN'!$I$4:$I$203,0))=1)*'HỌC VIÊN'!$J$4:$J$203)</f>
        <v/>
      </c>
      <c r="K9" s="25" t="inlineStr">
        <is>
          <t>Bảo lưu</t>
        </is>
      </c>
      <c r="L9" s="26">
        <f>COUNTIF('HỌC VIÊN'!$N$4:$N$203,"Bảo lưu")</f>
        <v/>
      </c>
      <c r="M9" s="15" t="n"/>
    </row>
    <row r="10">
      <c r="B10" s="25" t="inlineStr">
        <is>
          <t>Tháng 2</t>
        </is>
      </c>
      <c r="C10" s="15">
        <f>SUMPRODUCT((YEAR(IF(ISNUMBER('HỌC VIÊN'!$I$4:$I$203),'HỌC VIÊN'!$I$4:$I$203,0))=2026)*(MONTH(IF(ISNUMBER('HỌC VIÊN'!$I$4:$I$203),'HỌC VIÊN'!$I$4:$I$203,0))=2))</f>
        <v/>
      </c>
      <c r="D10" s="27">
        <f>SUMPRODUCT((YEAR(IF(ISNUMBER('HỌC VIÊN'!$I$4:$I$203),'HỌC VIÊN'!$I$4:$I$203,0))=2026)*(MONTH(IF(ISNUMBER('HỌC VIÊN'!$I$4:$I$203),'HỌC VIÊN'!$I$4:$I$203,0))=2)*'HỌC VIÊN'!$J$4:$J$203)</f>
        <v/>
      </c>
      <c r="K10" s="25" t="inlineStr">
        <is>
          <t>Tạm dừng</t>
        </is>
      </c>
      <c r="L10" s="26">
        <f>COUNTIF('HỌC VIÊN'!$N$4:$N$203,"Tạm dừng")</f>
        <v/>
      </c>
      <c r="M10" s="15" t="n"/>
    </row>
    <row r="11">
      <c r="B11" s="25" t="inlineStr">
        <is>
          <t>Tháng 3</t>
        </is>
      </c>
      <c r="C11" s="15">
        <f>SUMPRODUCT((YEAR(IF(ISNUMBER('HỌC VIÊN'!$I$4:$I$203),'HỌC VIÊN'!$I$4:$I$203,0))=2026)*(MONTH(IF(ISNUMBER('HỌC VIÊN'!$I$4:$I$203),'HỌC VIÊN'!$I$4:$I$203,0))=3))</f>
        <v/>
      </c>
      <c r="D11" s="27">
        <f>SUMPRODUCT((YEAR(IF(ISNUMBER('HỌC VIÊN'!$I$4:$I$203),'HỌC VIÊN'!$I$4:$I$203,0))=2026)*(MONTH(IF(ISNUMBER('HỌC VIÊN'!$I$4:$I$203),'HỌC VIÊN'!$I$4:$I$203,0))=3)*'HỌC VIÊN'!$J$4:$J$203)</f>
        <v/>
      </c>
      <c r="K11" s="25" t="inlineStr">
        <is>
          <t>Học xong</t>
        </is>
      </c>
      <c r="L11" s="26">
        <f>COUNTIF('HỌC VIÊN'!$N$4:$N$203,"Học xong")</f>
        <v/>
      </c>
      <c r="M11" s="15" t="n"/>
    </row>
    <row r="12">
      <c r="B12" s="25" t="inlineStr">
        <is>
          <t>Tháng 4</t>
        </is>
      </c>
      <c r="C12" s="15">
        <f>SUMPRODUCT((YEAR(IF(ISNUMBER('HỌC VIÊN'!$I$4:$I$203),'HỌC VIÊN'!$I$4:$I$203,0))=2026)*(MONTH(IF(ISNUMBER('HỌC VIÊN'!$I$4:$I$203),'HỌC VIÊN'!$I$4:$I$203,0))=4))</f>
        <v/>
      </c>
      <c r="D12" s="27">
        <f>SUMPRODUCT((YEAR(IF(ISNUMBER('HỌC VIÊN'!$I$4:$I$203),'HỌC VIÊN'!$I$4:$I$203,0))=2026)*(MONTH(IF(ISNUMBER('HỌC VIÊN'!$I$4:$I$203),'HỌC VIÊN'!$I$4:$I$203,0))=4)*'HỌC VIÊN'!$J$4:$J$203)</f>
        <v/>
      </c>
      <c r="K12" s="25" t="inlineStr">
        <is>
          <t>Nghỉ học</t>
        </is>
      </c>
      <c r="L12" s="26">
        <f>COUNTIF('HỌC VIÊN'!$N$4:$N$203,"Nghỉ học")</f>
        <v/>
      </c>
      <c r="M12" s="15" t="n"/>
    </row>
    <row r="13">
      <c r="B13" s="25" t="inlineStr">
        <is>
          <t>Tháng 5</t>
        </is>
      </c>
      <c r="C13" s="15">
        <f>SUMPRODUCT((YEAR(IF(ISNUMBER('HỌC VIÊN'!$I$4:$I$203),'HỌC VIÊN'!$I$4:$I$203,0))=2026)*(MONTH(IF(ISNUMBER('HỌC VIÊN'!$I$4:$I$203),'HỌC VIÊN'!$I$4:$I$203,0))=5))</f>
        <v/>
      </c>
      <c r="D13" s="27">
        <f>SUMPRODUCT((YEAR(IF(ISNUMBER('HỌC VIÊN'!$I$4:$I$203),'HỌC VIÊN'!$I$4:$I$203,0))=2026)*(MONTH(IF(ISNUMBER('HỌC VIÊN'!$I$4:$I$203),'HỌC VIÊN'!$I$4:$I$203,0))=5)*'HỌC VIÊN'!$J$4:$J$203)</f>
        <v/>
      </c>
    </row>
    <row r="14">
      <c r="B14" s="25" t="inlineStr">
        <is>
          <t>Tháng 6</t>
        </is>
      </c>
      <c r="C14" s="15">
        <f>SUMPRODUCT((YEAR(IF(ISNUMBER('HỌC VIÊN'!$I$4:$I$203),'HỌC VIÊN'!$I$4:$I$203,0))=2026)*(MONTH(IF(ISNUMBER('HỌC VIÊN'!$I$4:$I$203),'HỌC VIÊN'!$I$4:$I$203,0))=6))</f>
        <v/>
      </c>
      <c r="D14" s="27">
        <f>SUMPRODUCT((YEAR(IF(ISNUMBER('HỌC VIÊN'!$I$4:$I$203),'HỌC VIÊN'!$I$4:$I$203,0))=2026)*(MONTH(IF(ISNUMBER('HỌC VIÊN'!$I$4:$I$203),'HỌC VIÊN'!$I$4:$I$203,0))=6)*'HỌC VIÊN'!$J$4:$J$203)</f>
        <v/>
      </c>
    </row>
    <row r="15">
      <c r="B15" s="25" t="inlineStr">
        <is>
          <t>Tháng 7</t>
        </is>
      </c>
      <c r="C15" s="15">
        <f>SUMPRODUCT((YEAR(IF(ISNUMBER('HỌC VIÊN'!$I$4:$I$203),'HỌC VIÊN'!$I$4:$I$203,0))=2026)*(MONTH(IF(ISNUMBER('HỌC VIÊN'!$I$4:$I$203),'HỌC VIÊN'!$I$4:$I$203,0))=7))</f>
        <v/>
      </c>
      <c r="D15" s="27">
        <f>SUMPRODUCT((YEAR(IF(ISNUMBER('HỌC VIÊN'!$I$4:$I$203),'HỌC VIÊN'!$I$4:$I$203,0))=2026)*(MONTH(IF(ISNUMBER('HỌC VIÊN'!$I$4:$I$203),'HỌC VIÊN'!$I$4:$I$203,0))=7)*'HỌC VIÊN'!$J$4:$J$203)</f>
        <v/>
      </c>
    </row>
    <row r="16">
      <c r="B16" s="25" t="inlineStr">
        <is>
          <t>Tháng 8</t>
        </is>
      </c>
      <c r="C16" s="15">
        <f>SUMPRODUCT((YEAR(IF(ISNUMBER('HỌC VIÊN'!$I$4:$I$203),'HỌC VIÊN'!$I$4:$I$203,0))=2026)*(MONTH(IF(ISNUMBER('HỌC VIÊN'!$I$4:$I$203),'HỌC VIÊN'!$I$4:$I$203,0))=8))</f>
        <v/>
      </c>
      <c r="D16" s="27">
        <f>SUMPRODUCT((YEAR(IF(ISNUMBER('HỌC VIÊN'!$I$4:$I$203),'HỌC VIÊN'!$I$4:$I$203,0))=2026)*(MONTH(IF(ISNUMBER('HỌC VIÊN'!$I$4:$I$203),'HỌC VIÊN'!$I$4:$I$203,0))=8)*'HỌC VIÊN'!$J$4:$J$203)</f>
        <v/>
      </c>
    </row>
    <row r="17">
      <c r="B17" s="25" t="inlineStr">
        <is>
          <t>Tháng 9</t>
        </is>
      </c>
      <c r="C17" s="15">
        <f>SUMPRODUCT((YEAR(IF(ISNUMBER('HỌC VIÊN'!$I$4:$I$203),'HỌC VIÊN'!$I$4:$I$203,0))=2026)*(MONTH(IF(ISNUMBER('HỌC VIÊN'!$I$4:$I$203),'HỌC VIÊN'!$I$4:$I$203,0))=9))</f>
        <v/>
      </c>
      <c r="D17" s="27">
        <f>SUMPRODUCT((YEAR(IF(ISNUMBER('HỌC VIÊN'!$I$4:$I$203),'HỌC VIÊN'!$I$4:$I$203,0))=2026)*(MONTH(IF(ISNUMBER('HỌC VIÊN'!$I$4:$I$203),'HỌC VIÊN'!$I$4:$I$203,0))=9)*'HỌC VIÊN'!$J$4:$J$203)</f>
        <v/>
      </c>
    </row>
    <row r="18">
      <c r="B18" s="25" t="inlineStr">
        <is>
          <t>Tháng 10</t>
        </is>
      </c>
      <c r="C18" s="15">
        <f>SUMPRODUCT((YEAR(IF(ISNUMBER('HỌC VIÊN'!$I$4:$I$203),'HỌC VIÊN'!$I$4:$I$203,0))=2026)*(MONTH(IF(ISNUMBER('HỌC VIÊN'!$I$4:$I$203),'HỌC VIÊN'!$I$4:$I$203,0))=10))</f>
        <v/>
      </c>
      <c r="D18" s="27">
        <f>SUMPRODUCT((YEAR(IF(ISNUMBER('HỌC VIÊN'!$I$4:$I$203),'HỌC VIÊN'!$I$4:$I$203,0))=2026)*(MONTH(IF(ISNUMBER('HỌC VIÊN'!$I$4:$I$203),'HỌC VIÊN'!$I$4:$I$203,0))=10)*'HỌC VIÊN'!$J$4:$J$203)</f>
        <v/>
      </c>
    </row>
    <row r="19">
      <c r="B19" s="25" t="inlineStr">
        <is>
          <t>Tháng 11</t>
        </is>
      </c>
      <c r="C19" s="15">
        <f>SUMPRODUCT((YEAR(IF(ISNUMBER('HỌC VIÊN'!$I$4:$I$203),'HỌC VIÊN'!$I$4:$I$203,0))=2026)*(MONTH(IF(ISNUMBER('HỌC VIÊN'!$I$4:$I$203),'HỌC VIÊN'!$I$4:$I$203,0))=11))</f>
        <v/>
      </c>
      <c r="D19" s="27">
        <f>SUMPRODUCT((YEAR(IF(ISNUMBER('HỌC VIÊN'!$I$4:$I$203),'HỌC VIÊN'!$I$4:$I$203,0))=2026)*(MONTH(IF(ISNUMBER('HỌC VIÊN'!$I$4:$I$203),'HỌC VIÊN'!$I$4:$I$203,0))=11)*'HỌC VIÊN'!$J$4:$J$203)</f>
        <v/>
      </c>
    </row>
    <row r="20">
      <c r="B20" s="25" t="inlineStr">
        <is>
          <t>Tháng 12</t>
        </is>
      </c>
      <c r="C20" s="15">
        <f>SUMPRODUCT((YEAR(IF(ISNUMBER('HỌC VIÊN'!$I$4:$I$203),'HỌC VIÊN'!$I$4:$I$203,0))=2026)*(MONTH(IF(ISNUMBER('HỌC VIÊN'!$I$4:$I$203),'HỌC VIÊN'!$I$4:$I$203,0))=12))</f>
        <v/>
      </c>
      <c r="D20" s="27">
        <f>SUMPRODUCT((YEAR(IF(ISNUMBER('HỌC VIÊN'!$I$4:$I$203),'HỌC VIÊN'!$I$4:$I$203,0))=2026)*(MONTH(IF(ISNUMBER('HỌC VIÊN'!$I$4:$I$203),'HỌC VIÊN'!$I$4:$I$203,0))=12)*'HỌC VIÊN'!$J$4:$J$203)</f>
        <v/>
      </c>
    </row>
    <row r="21">
      <c r="B21" s="28" t="inlineStr">
        <is>
          <t>TỔNG</t>
        </is>
      </c>
      <c r="C21" s="29">
        <f>SUM(C9:C20)</f>
        <v/>
      </c>
      <c r="D21" s="30">
        <f>SUM(D9:D20)</f>
        <v/>
      </c>
    </row>
    <row r="23" ht="22" customHeight="1">
      <c r="B23" s="23" t="inlineStr">
        <is>
          <t>📣 HIỆU QUẢ NGUỒN MARKETING — dồn tiền vào kênh chốt cao</t>
        </is>
      </c>
    </row>
    <row r="24">
      <c r="B24" s="24" t="inlineStr">
        <is>
          <t>Nguồn</t>
        </is>
      </c>
      <c r="C24" s="24" t="inlineStr">
        <is>
          <t>Lượt học thử</t>
        </is>
      </c>
      <c r="D24" s="24" t="inlineStr">
        <is>
          <t>Chốt đăng ký</t>
        </is>
      </c>
      <c r="E24" s="24" t="inlineStr">
        <is>
          <t>Tỉ lệ chốt</t>
        </is>
      </c>
    </row>
    <row r="25">
      <c r="B25" s="25">
        <f>DANHMUC!$E$2</f>
        <v/>
      </c>
      <c r="C25" s="15">
        <f>COUNTIF('Học Thử'!$D$3:$D$302,DANHMUC!$E$2)</f>
        <v/>
      </c>
      <c r="D25" s="15">
        <f>COUNTIFS('Học Thử'!$D$3:$D$302,DANHMUC!$E$2,'Học Thử'!$J$3:$J$302,"Đã đăng ký")</f>
        <v/>
      </c>
      <c r="E25" s="31">
        <f>IFERROR(D25/C25,0)</f>
        <v/>
      </c>
    </row>
    <row r="26">
      <c r="B26" s="25">
        <f>DANHMUC!$E$3</f>
        <v/>
      </c>
      <c r="C26" s="15">
        <f>COUNTIF('Học Thử'!$D$3:$D$302,DANHMUC!$E$3)</f>
        <v/>
      </c>
      <c r="D26" s="15">
        <f>COUNTIFS('Học Thử'!$D$3:$D$302,DANHMUC!$E$3,'Học Thử'!$J$3:$J$302,"Đã đăng ký")</f>
        <v/>
      </c>
      <c r="E26" s="31">
        <f>IFERROR(D26/C26,0)</f>
        <v/>
      </c>
    </row>
    <row r="27">
      <c r="B27" s="25">
        <f>DANHMUC!$E$4</f>
        <v/>
      </c>
      <c r="C27" s="15">
        <f>COUNTIF('Học Thử'!$D$3:$D$302,DANHMUC!$E$4)</f>
        <v/>
      </c>
      <c r="D27" s="15">
        <f>COUNTIFS('Học Thử'!$D$3:$D$302,DANHMUC!$E$4,'Học Thử'!$J$3:$J$302,"Đã đăng ký")</f>
        <v/>
      </c>
      <c r="E27" s="31">
        <f>IFERROR(D27/C27,0)</f>
        <v/>
      </c>
    </row>
    <row r="28">
      <c r="B28" s="32" t="inlineStr">
        <is>
          <t>🔄 Số liệu tự cập nhật theo các sheet nguồn. Mở file/nhấn tính lại để làm mới.</t>
        </is>
      </c>
      <c r="C28" s="15">
        <f>COUNTIF('Học Thử'!$D$3:$D$302,DANHMUC!$E$5)</f>
        <v/>
      </c>
      <c r="D28" s="15">
        <f>COUNTIFS('Học Thử'!$D$3:$D$302,DANHMUC!$E$5,'Học Thử'!$J$3:$J$302,"Đã đăng ký")</f>
        <v/>
      </c>
      <c r="E28" s="31">
        <f>IFERROR(D28/C28,0)</f>
        <v/>
      </c>
    </row>
    <row r="29">
      <c r="B29" s="25">
        <f>DANHMUC!$E$6</f>
        <v/>
      </c>
      <c r="C29" s="15">
        <f>COUNTIF('Học Thử'!$D$3:$D$302,DANHMUC!$E$6)</f>
        <v/>
      </c>
      <c r="D29" s="15">
        <f>COUNTIFS('Học Thử'!$D$3:$D$302,DANHMUC!$E$6,'Học Thử'!$J$3:$J$302,"Đã đăng ký")</f>
        <v/>
      </c>
      <c r="E29" s="31">
        <f>IFERROR(D29/C29,0)</f>
        <v/>
      </c>
    </row>
    <row r="30">
      <c r="B30" s="25">
        <f>DANHMUC!$E$7</f>
        <v/>
      </c>
      <c r="C30" s="15">
        <f>COUNTIF('Học Thử'!$D$3:$D$302,DANHMUC!$E$7)</f>
        <v/>
      </c>
      <c r="D30" s="15">
        <f>COUNTIFS('Học Thử'!$D$3:$D$302,DANHMUC!$E$7,'Học Thử'!$J$3:$J$302,"Đã đăng ký")</f>
        <v/>
      </c>
      <c r="E30" s="31">
        <f>IFERROR(D30/C30,0)</f>
        <v/>
      </c>
    </row>
    <row r="31">
      <c r="B31" s="25">
        <f>DANHMUC!$E$8</f>
        <v/>
      </c>
      <c r="C31" s="15">
        <f>COUNTIF('Học Thử'!$D$3:$D$302,DANHMUC!$E$8)</f>
        <v/>
      </c>
      <c r="D31" s="15">
        <f>COUNTIFS('Học Thử'!$D$3:$D$302,DANHMUC!$E$8,'Học Thử'!$J$3:$J$302,"Đã đăng ký")</f>
        <v/>
      </c>
      <c r="E31" s="31">
        <f>IFERROR(D31/C31,0)</f>
        <v/>
      </c>
    </row>
  </sheetData>
  <mergeCells count="12">
    <mergeCell ref="B3:D3"/>
    <mergeCell ref="B7:I7"/>
    <mergeCell ref="B4:D5"/>
    <mergeCell ref="A1:R1"/>
    <mergeCell ref="F4:H5"/>
    <mergeCell ref="J4:L5"/>
    <mergeCell ref="F3:H3"/>
    <mergeCell ref="N4:P5"/>
    <mergeCell ref="J3:L3"/>
    <mergeCell ref="K7:M7"/>
    <mergeCell ref="N3:P3"/>
    <mergeCell ref="B23:I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L30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12" customWidth="1" min="4" max="4"/>
    <col width="18" customWidth="1" min="5" max="5"/>
    <col width="13" customWidth="1" min="6" max="6"/>
    <col width="16" customWidth="1" min="7" max="7"/>
    <col width="12" customWidth="1" min="8" max="8"/>
    <col width="13" customWidth="1" min="9" max="9"/>
    <col width="15" customWidth="1" min="10" max="10"/>
    <col width="14" customWidth="1" min="11" max="11"/>
    <col width="26" customWidth="1" min="12" max="12"/>
  </cols>
  <sheetData>
    <row r="1" ht="30" customHeight="1">
      <c r="A1" s="1" t="inlineStr">
        <is>
          <t>🎓 ORI ACADEMY   ·   DANH SÁCH HỌC THỬ — PHỄU TUYỂN SINH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6" customHeight="1">
      <c r="A2" s="24" t="inlineStr">
        <is>
          <t>STT</t>
        </is>
      </c>
      <c r="B2" s="24" t="inlineStr">
        <is>
          <t>Họ và tên</t>
        </is>
      </c>
      <c r="C2" s="24" t="inlineStr">
        <is>
          <t>SĐT</t>
        </is>
      </c>
      <c r="D2" s="24" t="inlineStr">
        <is>
          <t>Nguồn</t>
        </is>
      </c>
      <c r="E2" s="24" t="inlineStr">
        <is>
          <t>Người giới thiệu</t>
        </is>
      </c>
      <c r="F2" s="24" t="inlineStr">
        <is>
          <t>Ngày học thử</t>
        </is>
      </c>
      <c r="G2" s="24" t="inlineStr">
        <is>
          <t>Gói quan tâm</t>
        </is>
      </c>
      <c r="H2" s="24" t="inlineStr">
        <is>
          <t>Level thử</t>
        </is>
      </c>
      <c r="I2" s="24" t="inlineStr">
        <is>
          <t>Giáo viên</t>
        </is>
      </c>
      <c r="J2" s="24" t="inlineStr">
        <is>
          <t>Kết quả</t>
        </is>
      </c>
      <c r="K2" s="24" t="inlineStr">
        <is>
          <t>Ngày follow-up</t>
        </is>
      </c>
      <c r="L2" s="24" t="inlineStr">
        <is>
          <t>Ghi chú</t>
        </is>
      </c>
    </row>
    <row r="3">
      <c r="A3" s="33" t="n">
        <v>1</v>
      </c>
      <c r="B3" s="33" t="inlineStr">
        <is>
          <t>Nguyễn Văn A (ví dụ)</t>
        </is>
      </c>
      <c r="C3" s="33" t="inlineStr">
        <is>
          <t>0912345678</t>
        </is>
      </c>
      <c r="D3" s="33" t="inlineStr">
        <is>
          <t>Giới thiệu</t>
        </is>
      </c>
      <c r="E3" s="33" t="inlineStr">
        <is>
          <t>Chị Mai (PH ORI015)</t>
        </is>
      </c>
      <c r="F3" s="34" t="n">
        <v>46239</v>
      </c>
      <c r="G3" s="33" t="inlineStr">
        <is>
          <t>TOEIC 500+</t>
        </is>
      </c>
      <c r="H3" s="33" t="inlineStr">
        <is>
          <t>Pre-TOEIC</t>
        </is>
      </c>
      <c r="I3" s="33" t="inlineStr">
        <is>
          <t>Ms. Lan</t>
        </is>
      </c>
      <c r="J3" s="33" t="inlineStr">
        <is>
          <t>Đang cân nhắc</t>
        </is>
      </c>
      <c r="K3" s="34" t="n">
        <v>46246</v>
      </c>
      <c r="L3" s="33" t="inlineStr">
        <is>
          <t>Hẹn gọi lại T5</t>
        </is>
      </c>
    </row>
    <row r="4">
      <c r="A4" s="25" t="n"/>
      <c r="B4" s="25" t="n"/>
      <c r="C4" s="25" t="n"/>
      <c r="D4" s="25" t="n"/>
      <c r="E4" s="25" t="n"/>
      <c r="F4" s="35" t="n"/>
      <c r="G4" s="25" t="n"/>
      <c r="H4" s="25" t="n"/>
      <c r="I4" s="25" t="n"/>
      <c r="J4" s="25" t="n"/>
      <c r="K4" s="35" t="n"/>
      <c r="L4" s="25" t="n"/>
    </row>
    <row r="5">
      <c r="A5" s="25" t="n"/>
      <c r="B5" s="25" t="n"/>
      <c r="C5" s="25" t="n"/>
      <c r="D5" s="25" t="n"/>
      <c r="E5" s="25" t="n"/>
      <c r="F5" s="35" t="n"/>
      <c r="G5" s="25" t="n"/>
      <c r="H5" s="25" t="n"/>
      <c r="I5" s="25" t="n"/>
      <c r="J5" s="25" t="n"/>
      <c r="K5" s="35" t="n"/>
      <c r="L5" s="25" t="n"/>
    </row>
    <row r="6">
      <c r="A6" s="25" t="n"/>
      <c r="B6" s="25" t="n"/>
      <c r="C6" s="25" t="n"/>
      <c r="D6" s="25" t="n"/>
      <c r="E6" s="25" t="n"/>
      <c r="F6" s="35" t="n"/>
      <c r="G6" s="25" t="n"/>
      <c r="H6" s="25" t="n"/>
      <c r="I6" s="25" t="n"/>
      <c r="J6" s="25" t="n"/>
      <c r="K6" s="35" t="n"/>
      <c r="L6" s="25" t="n"/>
    </row>
    <row r="7">
      <c r="A7" s="25" t="n"/>
      <c r="B7" s="25" t="n"/>
      <c r="C7" s="25" t="n"/>
      <c r="D7" s="25" t="n"/>
      <c r="E7" s="25" t="n"/>
      <c r="F7" s="35" t="n"/>
      <c r="G7" s="25" t="n"/>
      <c r="H7" s="25" t="n"/>
      <c r="I7" s="25" t="n"/>
      <c r="J7" s="25" t="n"/>
      <c r="K7" s="35" t="n"/>
      <c r="L7" s="25" t="n"/>
    </row>
    <row r="8">
      <c r="A8" s="25" t="n"/>
      <c r="B8" s="25" t="n"/>
      <c r="C8" s="25" t="n"/>
      <c r="D8" s="25" t="n"/>
      <c r="E8" s="25" t="n"/>
      <c r="F8" s="35" t="n"/>
      <c r="G8" s="25" t="n"/>
      <c r="H8" s="25" t="n"/>
      <c r="I8" s="25" t="n"/>
      <c r="J8" s="25" t="n"/>
      <c r="K8" s="35" t="n"/>
      <c r="L8" s="25" t="n"/>
    </row>
    <row r="9">
      <c r="A9" s="25" t="n"/>
      <c r="B9" s="25" t="n"/>
      <c r="C9" s="25" t="n"/>
      <c r="D9" s="25" t="n"/>
      <c r="E9" s="25" t="n"/>
      <c r="F9" s="35" t="n"/>
      <c r="G9" s="25" t="n"/>
      <c r="H9" s="25" t="n"/>
      <c r="I9" s="25" t="n"/>
      <c r="J9" s="25" t="n"/>
      <c r="K9" s="35" t="n"/>
      <c r="L9" s="25" t="n"/>
    </row>
    <row r="10">
      <c r="A10" s="25" t="n"/>
      <c r="B10" s="25" t="n"/>
      <c r="C10" s="25" t="n"/>
      <c r="D10" s="25" t="n"/>
      <c r="E10" s="25" t="n"/>
      <c r="F10" s="35" t="n"/>
      <c r="G10" s="25" t="n"/>
      <c r="H10" s="25" t="n"/>
      <c r="I10" s="25" t="n"/>
      <c r="J10" s="25" t="n"/>
      <c r="K10" s="35" t="n"/>
      <c r="L10" s="25" t="n"/>
    </row>
    <row r="11">
      <c r="A11" s="25" t="n"/>
      <c r="B11" s="25" t="n"/>
      <c r="C11" s="25" t="n"/>
      <c r="D11" s="25" t="n"/>
      <c r="E11" s="25" t="n"/>
      <c r="F11" s="35" t="n"/>
      <c r="G11" s="25" t="n"/>
      <c r="H11" s="25" t="n"/>
      <c r="I11" s="25" t="n"/>
      <c r="J11" s="25" t="n"/>
      <c r="K11" s="35" t="n"/>
      <c r="L11" s="25" t="n"/>
    </row>
    <row r="12">
      <c r="A12" s="25" t="n"/>
      <c r="B12" s="25" t="n"/>
      <c r="C12" s="25" t="n"/>
      <c r="D12" s="25" t="n"/>
      <c r="E12" s="25" t="n"/>
      <c r="F12" s="35" t="n"/>
      <c r="G12" s="25" t="n"/>
      <c r="H12" s="25" t="n"/>
      <c r="I12" s="25" t="n"/>
      <c r="J12" s="25" t="n"/>
      <c r="K12" s="35" t="n"/>
      <c r="L12" s="25" t="n"/>
    </row>
    <row r="13">
      <c r="A13" s="25" t="n"/>
      <c r="B13" s="25" t="n"/>
      <c r="C13" s="25" t="n"/>
      <c r="D13" s="25" t="n"/>
      <c r="E13" s="25" t="n"/>
      <c r="F13" s="35" t="n"/>
      <c r="G13" s="25" t="n"/>
      <c r="H13" s="25" t="n"/>
      <c r="I13" s="25" t="n"/>
      <c r="J13" s="25" t="n"/>
      <c r="K13" s="35" t="n"/>
      <c r="L13" s="25" t="n"/>
    </row>
    <row r="14">
      <c r="A14" s="25" t="n"/>
      <c r="B14" s="25" t="n"/>
      <c r="C14" s="25" t="n"/>
      <c r="D14" s="25" t="n"/>
      <c r="E14" s="25" t="n"/>
      <c r="F14" s="35" t="n"/>
      <c r="G14" s="25" t="n"/>
      <c r="H14" s="25" t="n"/>
      <c r="I14" s="25" t="n"/>
      <c r="J14" s="25" t="n"/>
      <c r="K14" s="35" t="n"/>
      <c r="L14" s="25" t="n"/>
    </row>
    <row r="15">
      <c r="A15" s="25" t="n"/>
      <c r="B15" s="25" t="n"/>
      <c r="C15" s="25" t="n"/>
      <c r="D15" s="25" t="n"/>
      <c r="E15" s="25" t="n"/>
      <c r="F15" s="35" t="n"/>
      <c r="G15" s="25" t="n"/>
      <c r="H15" s="25" t="n"/>
      <c r="I15" s="25" t="n"/>
      <c r="J15" s="25" t="n"/>
      <c r="K15" s="35" t="n"/>
      <c r="L15" s="25" t="n"/>
    </row>
    <row r="16">
      <c r="A16" s="25" t="n"/>
      <c r="B16" s="25" t="n"/>
      <c r="C16" s="25" t="n"/>
      <c r="D16" s="25" t="n"/>
      <c r="E16" s="25" t="n"/>
      <c r="F16" s="35" t="n"/>
      <c r="G16" s="25" t="n"/>
      <c r="H16" s="25" t="n"/>
      <c r="I16" s="25" t="n"/>
      <c r="J16" s="25" t="n"/>
      <c r="K16" s="35" t="n"/>
      <c r="L16" s="25" t="n"/>
    </row>
    <row r="17">
      <c r="A17" s="25" t="n"/>
      <c r="B17" s="25" t="n"/>
      <c r="C17" s="25" t="n"/>
      <c r="D17" s="25" t="n"/>
      <c r="E17" s="25" t="n"/>
      <c r="F17" s="35" t="n"/>
      <c r="G17" s="25" t="n"/>
      <c r="H17" s="25" t="n"/>
      <c r="I17" s="25" t="n"/>
      <c r="J17" s="25" t="n"/>
      <c r="K17" s="35" t="n"/>
      <c r="L17" s="25" t="n"/>
    </row>
    <row r="18">
      <c r="A18" s="25" t="n"/>
      <c r="B18" s="25" t="n"/>
      <c r="C18" s="25" t="n"/>
      <c r="D18" s="25" t="n"/>
      <c r="E18" s="25" t="n"/>
      <c r="F18" s="35" t="n"/>
      <c r="G18" s="25" t="n"/>
      <c r="H18" s="25" t="n"/>
      <c r="I18" s="25" t="n"/>
      <c r="J18" s="25" t="n"/>
      <c r="K18" s="35" t="n"/>
      <c r="L18" s="25" t="n"/>
    </row>
    <row r="19">
      <c r="A19" s="25" t="n"/>
      <c r="B19" s="25" t="n"/>
      <c r="C19" s="25" t="n"/>
      <c r="D19" s="25" t="n"/>
      <c r="E19" s="25" t="n"/>
      <c r="F19" s="35" t="n"/>
      <c r="G19" s="25" t="n"/>
      <c r="H19" s="25" t="n"/>
      <c r="I19" s="25" t="n"/>
      <c r="J19" s="25" t="n"/>
      <c r="K19" s="35" t="n"/>
      <c r="L19" s="25" t="n"/>
    </row>
    <row r="20">
      <c r="A20" s="25" t="n"/>
      <c r="B20" s="25" t="n"/>
      <c r="C20" s="25" t="n"/>
      <c r="D20" s="25" t="n"/>
      <c r="E20" s="25" t="n"/>
      <c r="F20" s="35" t="n"/>
      <c r="G20" s="25" t="n"/>
      <c r="H20" s="25" t="n"/>
      <c r="I20" s="25" t="n"/>
      <c r="J20" s="25" t="n"/>
      <c r="K20" s="35" t="n"/>
      <c r="L20" s="25" t="n"/>
    </row>
    <row r="21">
      <c r="A21" s="25" t="n"/>
      <c r="B21" s="25" t="n"/>
      <c r="C21" s="25" t="n"/>
      <c r="D21" s="25" t="n"/>
      <c r="E21" s="25" t="n"/>
      <c r="F21" s="35" t="n"/>
      <c r="G21" s="25" t="n"/>
      <c r="H21" s="25" t="n"/>
      <c r="I21" s="25" t="n"/>
      <c r="J21" s="25" t="n"/>
      <c r="K21" s="35" t="n"/>
      <c r="L21" s="25" t="n"/>
    </row>
    <row r="22">
      <c r="A22" s="25" t="n"/>
      <c r="B22" s="25" t="n"/>
      <c r="C22" s="25" t="n"/>
      <c r="D22" s="25" t="n"/>
      <c r="E22" s="25" t="n"/>
      <c r="F22" s="35" t="n"/>
      <c r="G22" s="25" t="n"/>
      <c r="H22" s="25" t="n"/>
      <c r="I22" s="25" t="n"/>
      <c r="J22" s="25" t="n"/>
      <c r="K22" s="35" t="n"/>
      <c r="L22" s="25" t="n"/>
    </row>
    <row r="23">
      <c r="A23" s="25" t="n"/>
      <c r="B23" s="25" t="n"/>
      <c r="C23" s="25" t="n"/>
      <c r="D23" s="25" t="n"/>
      <c r="E23" s="25" t="n"/>
      <c r="F23" s="35" t="n"/>
      <c r="G23" s="25" t="n"/>
      <c r="H23" s="25" t="n"/>
      <c r="I23" s="25" t="n"/>
      <c r="J23" s="25" t="n"/>
      <c r="K23" s="35" t="n"/>
      <c r="L23" s="25" t="n"/>
    </row>
    <row r="24">
      <c r="A24" s="25" t="n"/>
      <c r="B24" s="25" t="n"/>
      <c r="C24" s="25" t="n"/>
      <c r="D24" s="25" t="n"/>
      <c r="E24" s="25" t="n"/>
      <c r="F24" s="35" t="n"/>
      <c r="G24" s="25" t="n"/>
      <c r="H24" s="25" t="n"/>
      <c r="I24" s="25" t="n"/>
      <c r="J24" s="25" t="n"/>
      <c r="K24" s="35" t="n"/>
      <c r="L24" s="25" t="n"/>
    </row>
    <row r="25">
      <c r="A25" s="25" t="n"/>
      <c r="B25" s="25" t="n"/>
      <c r="C25" s="25" t="n"/>
      <c r="D25" s="25" t="n"/>
      <c r="E25" s="25" t="n"/>
      <c r="F25" s="35" t="n"/>
      <c r="G25" s="25" t="n"/>
      <c r="H25" s="25" t="n"/>
      <c r="I25" s="25" t="n"/>
      <c r="J25" s="25" t="n"/>
      <c r="K25" s="35" t="n"/>
      <c r="L25" s="25" t="n"/>
    </row>
    <row r="26">
      <c r="A26" s="25" t="n"/>
      <c r="B26" s="25" t="n"/>
      <c r="C26" s="25" t="n"/>
      <c r="D26" s="25" t="n"/>
      <c r="E26" s="25" t="n"/>
      <c r="F26" s="35" t="n"/>
      <c r="G26" s="25" t="n"/>
      <c r="H26" s="25" t="n"/>
      <c r="I26" s="25" t="n"/>
      <c r="J26" s="25" t="n"/>
      <c r="K26" s="35" t="n"/>
      <c r="L26" s="25" t="n"/>
    </row>
    <row r="27">
      <c r="A27" s="25" t="n"/>
      <c r="B27" s="25" t="n"/>
      <c r="C27" s="25" t="n"/>
      <c r="D27" s="25" t="n"/>
      <c r="E27" s="25" t="n"/>
      <c r="F27" s="35" t="n"/>
      <c r="G27" s="25" t="n"/>
      <c r="H27" s="25" t="n"/>
      <c r="I27" s="25" t="n"/>
      <c r="J27" s="25" t="n"/>
      <c r="K27" s="35" t="n"/>
      <c r="L27" s="25" t="n"/>
    </row>
    <row r="28">
      <c r="A28" s="25" t="n"/>
      <c r="B28" s="25" t="n"/>
      <c r="C28" s="25" t="n"/>
      <c r="D28" s="25" t="n"/>
      <c r="E28" s="25" t="n"/>
      <c r="F28" s="35" t="n"/>
      <c r="G28" s="25" t="n"/>
      <c r="H28" s="25" t="n"/>
      <c r="I28" s="25" t="n"/>
      <c r="J28" s="25" t="n"/>
      <c r="K28" s="35" t="n"/>
      <c r="L28" s="25" t="n"/>
    </row>
    <row r="29">
      <c r="A29" s="25" t="n"/>
      <c r="B29" s="25" t="n"/>
      <c r="C29" s="25" t="n"/>
      <c r="D29" s="25" t="n"/>
      <c r="E29" s="25" t="n"/>
      <c r="F29" s="35" t="n"/>
      <c r="G29" s="25" t="n"/>
      <c r="H29" s="25" t="n"/>
      <c r="I29" s="25" t="n"/>
      <c r="J29" s="25" t="n"/>
      <c r="K29" s="35" t="n"/>
      <c r="L29" s="25" t="n"/>
    </row>
    <row r="30">
      <c r="A30" s="25" t="n"/>
      <c r="B30" s="25" t="n"/>
      <c r="C30" s="25" t="n"/>
      <c r="D30" s="25" t="n"/>
      <c r="E30" s="25" t="n"/>
      <c r="F30" s="35" t="n"/>
      <c r="G30" s="25" t="n"/>
      <c r="H30" s="25" t="n"/>
      <c r="I30" s="25" t="n"/>
      <c r="J30" s="25" t="n"/>
      <c r="K30" s="35" t="n"/>
      <c r="L30" s="25" t="n"/>
    </row>
    <row r="31">
      <c r="A31" s="25" t="n"/>
      <c r="B31" s="25" t="n"/>
      <c r="C31" s="25" t="n"/>
      <c r="D31" s="25" t="n"/>
      <c r="E31" s="25" t="n"/>
      <c r="F31" s="35" t="n"/>
      <c r="G31" s="25" t="n"/>
      <c r="H31" s="25" t="n"/>
      <c r="I31" s="25" t="n"/>
      <c r="J31" s="25" t="n"/>
      <c r="K31" s="35" t="n"/>
      <c r="L31" s="25" t="n"/>
    </row>
    <row r="32">
      <c r="A32" s="25" t="n"/>
      <c r="B32" s="25" t="n"/>
      <c r="C32" s="25" t="n"/>
      <c r="D32" s="25" t="n"/>
      <c r="E32" s="25" t="n"/>
      <c r="F32" s="35" t="n"/>
      <c r="G32" s="25" t="n"/>
      <c r="H32" s="25" t="n"/>
      <c r="I32" s="25" t="n"/>
      <c r="J32" s="25" t="n"/>
      <c r="K32" s="35" t="n"/>
      <c r="L32" s="25" t="n"/>
    </row>
    <row r="33">
      <c r="A33" s="25" t="n"/>
      <c r="B33" s="25" t="n"/>
      <c r="C33" s="25" t="n"/>
      <c r="D33" s="25" t="n"/>
      <c r="E33" s="25" t="n"/>
      <c r="F33" s="35" t="n"/>
      <c r="G33" s="25" t="n"/>
      <c r="H33" s="25" t="n"/>
      <c r="I33" s="25" t="n"/>
      <c r="J33" s="25" t="n"/>
      <c r="K33" s="35" t="n"/>
      <c r="L33" s="25" t="n"/>
    </row>
    <row r="34">
      <c r="A34" s="25" t="n"/>
      <c r="B34" s="25" t="n"/>
      <c r="C34" s="25" t="n"/>
      <c r="D34" s="25" t="n"/>
      <c r="E34" s="25" t="n"/>
      <c r="F34" s="35" t="n"/>
      <c r="G34" s="25" t="n"/>
      <c r="H34" s="25" t="n"/>
      <c r="I34" s="25" t="n"/>
      <c r="J34" s="25" t="n"/>
      <c r="K34" s="35" t="n"/>
      <c r="L34" s="25" t="n"/>
    </row>
    <row r="35">
      <c r="A35" s="25" t="n"/>
      <c r="B35" s="25" t="n"/>
      <c r="C35" s="25" t="n"/>
      <c r="D35" s="25" t="n"/>
      <c r="E35" s="25" t="n"/>
      <c r="F35" s="35" t="n"/>
      <c r="G35" s="25" t="n"/>
      <c r="H35" s="25" t="n"/>
      <c r="I35" s="25" t="n"/>
      <c r="J35" s="25" t="n"/>
      <c r="K35" s="35" t="n"/>
      <c r="L35" s="25" t="n"/>
    </row>
    <row r="36">
      <c r="A36" s="25" t="n"/>
      <c r="B36" s="25" t="n"/>
      <c r="C36" s="25" t="n"/>
      <c r="D36" s="25" t="n"/>
      <c r="E36" s="25" t="n"/>
      <c r="F36" s="35" t="n"/>
      <c r="G36" s="25" t="n"/>
      <c r="H36" s="25" t="n"/>
      <c r="I36" s="25" t="n"/>
      <c r="J36" s="25" t="n"/>
      <c r="K36" s="35" t="n"/>
      <c r="L36" s="25" t="n"/>
    </row>
    <row r="37">
      <c r="A37" s="25" t="n"/>
      <c r="B37" s="25" t="n"/>
      <c r="C37" s="25" t="n"/>
      <c r="D37" s="25" t="n"/>
      <c r="E37" s="25" t="n"/>
      <c r="F37" s="35" t="n"/>
      <c r="G37" s="25" t="n"/>
      <c r="H37" s="25" t="n"/>
      <c r="I37" s="25" t="n"/>
      <c r="J37" s="25" t="n"/>
      <c r="K37" s="35" t="n"/>
      <c r="L37" s="25" t="n"/>
    </row>
    <row r="38">
      <c r="A38" s="25" t="n"/>
      <c r="B38" s="25" t="n"/>
      <c r="C38" s="25" t="n"/>
      <c r="D38" s="25" t="n"/>
      <c r="E38" s="25" t="n"/>
      <c r="F38" s="35" t="n"/>
      <c r="G38" s="25" t="n"/>
      <c r="H38" s="25" t="n"/>
      <c r="I38" s="25" t="n"/>
      <c r="J38" s="25" t="n"/>
      <c r="K38" s="35" t="n"/>
      <c r="L38" s="25" t="n"/>
    </row>
    <row r="39">
      <c r="A39" s="25" t="n"/>
      <c r="B39" s="25" t="n"/>
      <c r="C39" s="25" t="n"/>
      <c r="D39" s="25" t="n"/>
      <c r="E39" s="25" t="n"/>
      <c r="F39" s="35" t="n"/>
      <c r="G39" s="25" t="n"/>
      <c r="H39" s="25" t="n"/>
      <c r="I39" s="25" t="n"/>
      <c r="J39" s="25" t="n"/>
      <c r="K39" s="35" t="n"/>
      <c r="L39" s="25" t="n"/>
    </row>
    <row r="40">
      <c r="A40" s="25" t="n"/>
      <c r="B40" s="25" t="n"/>
      <c r="C40" s="25" t="n"/>
      <c r="D40" s="25" t="n"/>
      <c r="E40" s="25" t="n"/>
      <c r="F40" s="35" t="n"/>
      <c r="G40" s="25" t="n"/>
      <c r="H40" s="25" t="n"/>
      <c r="I40" s="25" t="n"/>
      <c r="J40" s="25" t="n"/>
      <c r="K40" s="35" t="n"/>
      <c r="L40" s="25" t="n"/>
    </row>
    <row r="41">
      <c r="A41" s="25" t="n"/>
      <c r="B41" s="25" t="n"/>
      <c r="C41" s="25" t="n"/>
      <c r="D41" s="25" t="n"/>
      <c r="E41" s="25" t="n"/>
      <c r="F41" s="35" t="n"/>
      <c r="G41" s="25" t="n"/>
      <c r="H41" s="25" t="n"/>
      <c r="I41" s="25" t="n"/>
      <c r="J41" s="25" t="n"/>
      <c r="K41" s="35" t="n"/>
      <c r="L41" s="25" t="n"/>
    </row>
    <row r="42">
      <c r="A42" s="25" t="n"/>
      <c r="B42" s="25" t="n"/>
      <c r="C42" s="25" t="n"/>
      <c r="D42" s="25" t="n"/>
      <c r="E42" s="25" t="n"/>
      <c r="F42" s="35" t="n"/>
      <c r="G42" s="25" t="n"/>
      <c r="H42" s="25" t="n"/>
      <c r="I42" s="25" t="n"/>
      <c r="J42" s="25" t="n"/>
      <c r="K42" s="35" t="n"/>
      <c r="L42" s="25" t="n"/>
    </row>
    <row r="43">
      <c r="A43" s="25" t="n"/>
      <c r="B43" s="25" t="n"/>
      <c r="C43" s="25" t="n"/>
      <c r="D43" s="25" t="n"/>
      <c r="E43" s="25" t="n"/>
      <c r="F43" s="35" t="n"/>
      <c r="G43" s="25" t="n"/>
      <c r="H43" s="25" t="n"/>
      <c r="I43" s="25" t="n"/>
      <c r="J43" s="25" t="n"/>
      <c r="K43" s="35" t="n"/>
      <c r="L43" s="25" t="n"/>
    </row>
    <row r="44">
      <c r="A44" s="25" t="n"/>
      <c r="B44" s="25" t="n"/>
      <c r="C44" s="25" t="n"/>
      <c r="D44" s="25" t="n"/>
      <c r="E44" s="25" t="n"/>
      <c r="F44" s="35" t="n"/>
      <c r="G44" s="25" t="n"/>
      <c r="H44" s="25" t="n"/>
      <c r="I44" s="25" t="n"/>
      <c r="J44" s="25" t="n"/>
      <c r="K44" s="35" t="n"/>
      <c r="L44" s="25" t="n"/>
    </row>
    <row r="45">
      <c r="A45" s="25" t="n"/>
      <c r="B45" s="25" t="n"/>
      <c r="C45" s="25" t="n"/>
      <c r="D45" s="25" t="n"/>
      <c r="E45" s="25" t="n"/>
      <c r="F45" s="35" t="n"/>
      <c r="G45" s="25" t="n"/>
      <c r="H45" s="25" t="n"/>
      <c r="I45" s="25" t="n"/>
      <c r="J45" s="25" t="n"/>
      <c r="K45" s="35" t="n"/>
      <c r="L45" s="25" t="n"/>
    </row>
    <row r="46">
      <c r="A46" s="25" t="n"/>
      <c r="B46" s="25" t="n"/>
      <c r="C46" s="25" t="n"/>
      <c r="D46" s="25" t="n"/>
      <c r="E46" s="25" t="n"/>
      <c r="F46" s="35" t="n"/>
      <c r="G46" s="25" t="n"/>
      <c r="H46" s="25" t="n"/>
      <c r="I46" s="25" t="n"/>
      <c r="J46" s="25" t="n"/>
      <c r="K46" s="35" t="n"/>
      <c r="L46" s="25" t="n"/>
    </row>
    <row r="47">
      <c r="A47" s="25" t="n"/>
      <c r="B47" s="25" t="n"/>
      <c r="C47" s="25" t="n"/>
      <c r="D47" s="25" t="n"/>
      <c r="E47" s="25" t="n"/>
      <c r="F47" s="35" t="n"/>
      <c r="G47" s="25" t="n"/>
      <c r="H47" s="25" t="n"/>
      <c r="I47" s="25" t="n"/>
      <c r="J47" s="25" t="n"/>
      <c r="K47" s="35" t="n"/>
      <c r="L47" s="25" t="n"/>
    </row>
    <row r="48">
      <c r="A48" s="25" t="n"/>
      <c r="B48" s="25" t="n"/>
      <c r="C48" s="25" t="n"/>
      <c r="D48" s="25" t="n"/>
      <c r="E48" s="25" t="n"/>
      <c r="F48" s="35" t="n"/>
      <c r="G48" s="25" t="n"/>
      <c r="H48" s="25" t="n"/>
      <c r="I48" s="25" t="n"/>
      <c r="J48" s="25" t="n"/>
      <c r="K48" s="35" t="n"/>
      <c r="L48" s="25" t="n"/>
    </row>
    <row r="49">
      <c r="A49" s="25" t="n"/>
      <c r="B49" s="25" t="n"/>
      <c r="C49" s="25" t="n"/>
      <c r="D49" s="25" t="n"/>
      <c r="E49" s="25" t="n"/>
      <c r="F49" s="35" t="n"/>
      <c r="G49" s="25" t="n"/>
      <c r="H49" s="25" t="n"/>
      <c r="I49" s="25" t="n"/>
      <c r="J49" s="25" t="n"/>
      <c r="K49" s="35" t="n"/>
      <c r="L49" s="25" t="n"/>
    </row>
    <row r="50">
      <c r="A50" s="25" t="n"/>
      <c r="B50" s="25" t="n"/>
      <c r="C50" s="25" t="n"/>
      <c r="D50" s="25" t="n"/>
      <c r="E50" s="25" t="n"/>
      <c r="F50" s="35" t="n"/>
      <c r="G50" s="25" t="n"/>
      <c r="H50" s="25" t="n"/>
      <c r="I50" s="25" t="n"/>
      <c r="J50" s="25" t="n"/>
      <c r="K50" s="35" t="n"/>
      <c r="L50" s="25" t="n"/>
    </row>
    <row r="51">
      <c r="A51" s="25" t="n"/>
      <c r="B51" s="25" t="n"/>
      <c r="C51" s="25" t="n"/>
      <c r="D51" s="25" t="n"/>
      <c r="E51" s="25" t="n"/>
      <c r="F51" s="35" t="n"/>
      <c r="G51" s="25" t="n"/>
      <c r="H51" s="25" t="n"/>
      <c r="I51" s="25" t="n"/>
      <c r="J51" s="25" t="n"/>
      <c r="K51" s="35" t="n"/>
      <c r="L51" s="25" t="n"/>
    </row>
    <row r="52">
      <c r="A52" s="25" t="n"/>
      <c r="B52" s="25" t="n"/>
      <c r="C52" s="25" t="n"/>
      <c r="D52" s="25" t="n"/>
      <c r="E52" s="25" t="n"/>
      <c r="F52" s="35" t="n"/>
      <c r="G52" s="25" t="n"/>
      <c r="H52" s="25" t="n"/>
      <c r="I52" s="25" t="n"/>
      <c r="J52" s="25" t="n"/>
      <c r="K52" s="35" t="n"/>
      <c r="L52" s="25" t="n"/>
    </row>
    <row r="53">
      <c r="A53" s="25" t="n"/>
      <c r="B53" s="25" t="n"/>
      <c r="C53" s="25" t="n"/>
      <c r="D53" s="25" t="n"/>
      <c r="E53" s="25" t="n"/>
      <c r="F53" s="35" t="n"/>
      <c r="G53" s="25" t="n"/>
      <c r="H53" s="25" t="n"/>
      <c r="I53" s="25" t="n"/>
      <c r="J53" s="25" t="n"/>
      <c r="K53" s="35" t="n"/>
      <c r="L53" s="25" t="n"/>
    </row>
    <row r="54">
      <c r="A54" s="25" t="n"/>
      <c r="B54" s="25" t="n"/>
      <c r="C54" s="25" t="n"/>
      <c r="D54" s="25" t="n"/>
      <c r="E54" s="25" t="n"/>
      <c r="F54" s="35" t="n"/>
      <c r="G54" s="25" t="n"/>
      <c r="H54" s="25" t="n"/>
      <c r="I54" s="25" t="n"/>
      <c r="J54" s="25" t="n"/>
      <c r="K54" s="35" t="n"/>
      <c r="L54" s="25" t="n"/>
    </row>
    <row r="55">
      <c r="A55" s="25" t="n"/>
      <c r="B55" s="25" t="n"/>
      <c r="C55" s="25" t="n"/>
      <c r="D55" s="25" t="n"/>
      <c r="E55" s="25" t="n"/>
      <c r="F55" s="35" t="n"/>
      <c r="G55" s="25" t="n"/>
      <c r="H55" s="25" t="n"/>
      <c r="I55" s="25" t="n"/>
      <c r="J55" s="25" t="n"/>
      <c r="K55" s="35" t="n"/>
      <c r="L55" s="25" t="n"/>
    </row>
    <row r="56">
      <c r="A56" s="25" t="n"/>
      <c r="B56" s="25" t="n"/>
      <c r="C56" s="25" t="n"/>
      <c r="D56" s="25" t="n"/>
      <c r="E56" s="25" t="n"/>
      <c r="F56" s="35" t="n"/>
      <c r="G56" s="25" t="n"/>
      <c r="H56" s="25" t="n"/>
      <c r="I56" s="25" t="n"/>
      <c r="J56" s="25" t="n"/>
      <c r="K56" s="35" t="n"/>
      <c r="L56" s="25" t="n"/>
    </row>
    <row r="57">
      <c r="A57" s="25" t="n"/>
      <c r="B57" s="25" t="n"/>
      <c r="C57" s="25" t="n"/>
      <c r="D57" s="25" t="n"/>
      <c r="E57" s="25" t="n"/>
      <c r="F57" s="35" t="n"/>
      <c r="G57" s="25" t="n"/>
      <c r="H57" s="25" t="n"/>
      <c r="I57" s="25" t="n"/>
      <c r="J57" s="25" t="n"/>
      <c r="K57" s="35" t="n"/>
      <c r="L57" s="25" t="n"/>
    </row>
    <row r="58">
      <c r="A58" s="25" t="n"/>
      <c r="B58" s="25" t="n"/>
      <c r="C58" s="25" t="n"/>
      <c r="D58" s="25" t="n"/>
      <c r="E58" s="25" t="n"/>
      <c r="F58" s="35" t="n"/>
      <c r="G58" s="25" t="n"/>
      <c r="H58" s="25" t="n"/>
      <c r="I58" s="25" t="n"/>
      <c r="J58" s="25" t="n"/>
      <c r="K58" s="35" t="n"/>
      <c r="L58" s="25" t="n"/>
    </row>
    <row r="59">
      <c r="A59" s="25" t="n"/>
      <c r="B59" s="25" t="n"/>
      <c r="C59" s="25" t="n"/>
      <c r="D59" s="25" t="n"/>
      <c r="E59" s="25" t="n"/>
      <c r="F59" s="35" t="n"/>
      <c r="G59" s="25" t="n"/>
      <c r="H59" s="25" t="n"/>
      <c r="I59" s="25" t="n"/>
      <c r="J59" s="25" t="n"/>
      <c r="K59" s="35" t="n"/>
      <c r="L59" s="25" t="n"/>
    </row>
    <row r="60">
      <c r="A60" s="25" t="n"/>
      <c r="B60" s="25" t="n"/>
      <c r="C60" s="25" t="n"/>
      <c r="D60" s="25" t="n"/>
      <c r="E60" s="25" t="n"/>
      <c r="F60" s="35" t="n"/>
      <c r="G60" s="25" t="n"/>
      <c r="H60" s="25" t="n"/>
      <c r="I60" s="25" t="n"/>
      <c r="J60" s="25" t="n"/>
      <c r="K60" s="35" t="n"/>
      <c r="L60" s="25" t="n"/>
    </row>
    <row r="61">
      <c r="A61" s="25" t="n"/>
      <c r="B61" s="25" t="n"/>
      <c r="C61" s="25" t="n"/>
      <c r="D61" s="25" t="n"/>
      <c r="E61" s="25" t="n"/>
      <c r="F61" s="35" t="n"/>
      <c r="G61" s="25" t="n"/>
      <c r="H61" s="25" t="n"/>
      <c r="I61" s="25" t="n"/>
      <c r="J61" s="25" t="n"/>
      <c r="K61" s="35" t="n"/>
      <c r="L61" s="25" t="n"/>
    </row>
    <row r="62">
      <c r="A62" s="25" t="n"/>
      <c r="B62" s="25" t="n"/>
      <c r="C62" s="25" t="n"/>
      <c r="D62" s="25" t="n"/>
      <c r="E62" s="25" t="n"/>
      <c r="F62" s="35" t="n"/>
      <c r="G62" s="25" t="n"/>
      <c r="H62" s="25" t="n"/>
      <c r="I62" s="25" t="n"/>
      <c r="J62" s="25" t="n"/>
      <c r="K62" s="35" t="n"/>
      <c r="L62" s="25" t="n"/>
    </row>
    <row r="63">
      <c r="A63" s="25" t="n"/>
      <c r="B63" s="25" t="n"/>
      <c r="C63" s="25" t="n"/>
      <c r="D63" s="25" t="n"/>
      <c r="E63" s="25" t="n"/>
      <c r="F63" s="35" t="n"/>
      <c r="G63" s="25" t="n"/>
      <c r="H63" s="25" t="n"/>
      <c r="I63" s="25" t="n"/>
      <c r="J63" s="25" t="n"/>
      <c r="K63" s="35" t="n"/>
      <c r="L63" s="25" t="n"/>
    </row>
    <row r="64">
      <c r="A64" s="25" t="n"/>
      <c r="B64" s="25" t="n"/>
      <c r="C64" s="25" t="n"/>
      <c r="D64" s="25" t="n"/>
      <c r="E64" s="25" t="n"/>
      <c r="F64" s="35" t="n"/>
      <c r="G64" s="25" t="n"/>
      <c r="H64" s="25" t="n"/>
      <c r="I64" s="25" t="n"/>
      <c r="J64" s="25" t="n"/>
      <c r="K64" s="35" t="n"/>
      <c r="L64" s="25" t="n"/>
    </row>
    <row r="65">
      <c r="A65" s="25" t="n"/>
      <c r="B65" s="25" t="n"/>
      <c r="C65" s="25" t="n"/>
      <c r="D65" s="25" t="n"/>
      <c r="E65" s="25" t="n"/>
      <c r="F65" s="35" t="n"/>
      <c r="G65" s="25" t="n"/>
      <c r="H65" s="25" t="n"/>
      <c r="I65" s="25" t="n"/>
      <c r="J65" s="25" t="n"/>
      <c r="K65" s="35" t="n"/>
      <c r="L65" s="25" t="n"/>
    </row>
    <row r="66">
      <c r="A66" s="25" t="n"/>
      <c r="B66" s="25" t="n"/>
      <c r="C66" s="25" t="n"/>
      <c r="D66" s="25" t="n"/>
      <c r="E66" s="25" t="n"/>
      <c r="F66" s="35" t="n"/>
      <c r="G66" s="25" t="n"/>
      <c r="H66" s="25" t="n"/>
      <c r="I66" s="25" t="n"/>
      <c r="J66" s="25" t="n"/>
      <c r="K66" s="35" t="n"/>
      <c r="L66" s="25" t="n"/>
    </row>
    <row r="67">
      <c r="A67" s="25" t="n"/>
      <c r="B67" s="25" t="n"/>
      <c r="C67" s="25" t="n"/>
      <c r="D67" s="25" t="n"/>
      <c r="E67" s="25" t="n"/>
      <c r="F67" s="35" t="n"/>
      <c r="G67" s="25" t="n"/>
      <c r="H67" s="25" t="n"/>
      <c r="I67" s="25" t="n"/>
      <c r="J67" s="25" t="n"/>
      <c r="K67" s="35" t="n"/>
      <c r="L67" s="25" t="n"/>
    </row>
    <row r="68">
      <c r="A68" s="25" t="n"/>
      <c r="B68" s="25" t="n"/>
      <c r="C68" s="25" t="n"/>
      <c r="D68" s="25" t="n"/>
      <c r="E68" s="25" t="n"/>
      <c r="F68" s="35" t="n"/>
      <c r="G68" s="25" t="n"/>
      <c r="H68" s="25" t="n"/>
      <c r="I68" s="25" t="n"/>
      <c r="J68" s="25" t="n"/>
      <c r="K68" s="35" t="n"/>
      <c r="L68" s="25" t="n"/>
    </row>
    <row r="69">
      <c r="A69" s="25" t="n"/>
      <c r="B69" s="25" t="n"/>
      <c r="C69" s="25" t="n"/>
      <c r="D69" s="25" t="n"/>
      <c r="E69" s="25" t="n"/>
      <c r="F69" s="35" t="n"/>
      <c r="G69" s="25" t="n"/>
      <c r="H69" s="25" t="n"/>
      <c r="I69" s="25" t="n"/>
      <c r="J69" s="25" t="n"/>
      <c r="K69" s="35" t="n"/>
      <c r="L69" s="25" t="n"/>
    </row>
    <row r="70">
      <c r="A70" s="25" t="n"/>
      <c r="B70" s="25" t="n"/>
      <c r="C70" s="25" t="n"/>
      <c r="D70" s="25" t="n"/>
      <c r="E70" s="25" t="n"/>
      <c r="F70" s="35" t="n"/>
      <c r="G70" s="25" t="n"/>
      <c r="H70" s="25" t="n"/>
      <c r="I70" s="25" t="n"/>
      <c r="J70" s="25" t="n"/>
      <c r="K70" s="35" t="n"/>
      <c r="L70" s="25" t="n"/>
    </row>
    <row r="71">
      <c r="A71" s="25" t="n"/>
      <c r="B71" s="25" t="n"/>
      <c r="C71" s="25" t="n"/>
      <c r="D71" s="25" t="n"/>
      <c r="E71" s="25" t="n"/>
      <c r="F71" s="35" t="n"/>
      <c r="G71" s="25" t="n"/>
      <c r="H71" s="25" t="n"/>
      <c r="I71" s="25" t="n"/>
      <c r="J71" s="25" t="n"/>
      <c r="K71" s="35" t="n"/>
      <c r="L71" s="25" t="n"/>
    </row>
    <row r="72">
      <c r="A72" s="25" t="n"/>
      <c r="B72" s="25" t="n"/>
      <c r="C72" s="25" t="n"/>
      <c r="D72" s="25" t="n"/>
      <c r="E72" s="25" t="n"/>
      <c r="F72" s="35" t="n"/>
      <c r="G72" s="25" t="n"/>
      <c r="H72" s="25" t="n"/>
      <c r="I72" s="25" t="n"/>
      <c r="J72" s="25" t="n"/>
      <c r="K72" s="35" t="n"/>
      <c r="L72" s="25" t="n"/>
    </row>
    <row r="73">
      <c r="A73" s="25" t="n"/>
      <c r="B73" s="25" t="n"/>
      <c r="C73" s="25" t="n"/>
      <c r="D73" s="25" t="n"/>
      <c r="E73" s="25" t="n"/>
      <c r="F73" s="35" t="n"/>
      <c r="G73" s="25" t="n"/>
      <c r="H73" s="25" t="n"/>
      <c r="I73" s="25" t="n"/>
      <c r="J73" s="25" t="n"/>
      <c r="K73" s="35" t="n"/>
      <c r="L73" s="25" t="n"/>
    </row>
    <row r="74">
      <c r="A74" s="25" t="n"/>
      <c r="B74" s="25" t="n"/>
      <c r="C74" s="25" t="n"/>
      <c r="D74" s="25" t="n"/>
      <c r="E74" s="25" t="n"/>
      <c r="F74" s="35" t="n"/>
      <c r="G74" s="25" t="n"/>
      <c r="H74" s="25" t="n"/>
      <c r="I74" s="25" t="n"/>
      <c r="J74" s="25" t="n"/>
      <c r="K74" s="35" t="n"/>
      <c r="L74" s="25" t="n"/>
    </row>
    <row r="75">
      <c r="A75" s="25" t="n"/>
      <c r="B75" s="25" t="n"/>
      <c r="C75" s="25" t="n"/>
      <c r="D75" s="25" t="n"/>
      <c r="E75" s="25" t="n"/>
      <c r="F75" s="35" t="n"/>
      <c r="G75" s="25" t="n"/>
      <c r="H75" s="25" t="n"/>
      <c r="I75" s="25" t="n"/>
      <c r="J75" s="25" t="n"/>
      <c r="K75" s="35" t="n"/>
      <c r="L75" s="25" t="n"/>
    </row>
    <row r="76">
      <c r="A76" s="25" t="n"/>
      <c r="B76" s="25" t="n"/>
      <c r="C76" s="25" t="n"/>
      <c r="D76" s="25" t="n"/>
      <c r="E76" s="25" t="n"/>
      <c r="F76" s="35" t="n"/>
      <c r="G76" s="25" t="n"/>
      <c r="H76" s="25" t="n"/>
      <c r="I76" s="25" t="n"/>
      <c r="J76" s="25" t="n"/>
      <c r="K76" s="35" t="n"/>
      <c r="L76" s="25" t="n"/>
    </row>
    <row r="77">
      <c r="A77" s="25" t="n"/>
      <c r="B77" s="25" t="n"/>
      <c r="C77" s="25" t="n"/>
      <c r="D77" s="25" t="n"/>
      <c r="E77" s="25" t="n"/>
      <c r="F77" s="35" t="n"/>
      <c r="G77" s="25" t="n"/>
      <c r="H77" s="25" t="n"/>
      <c r="I77" s="25" t="n"/>
      <c r="J77" s="25" t="n"/>
      <c r="K77" s="35" t="n"/>
      <c r="L77" s="25" t="n"/>
    </row>
    <row r="78">
      <c r="A78" s="25" t="n"/>
      <c r="B78" s="25" t="n"/>
      <c r="C78" s="25" t="n"/>
      <c r="D78" s="25" t="n"/>
      <c r="E78" s="25" t="n"/>
      <c r="F78" s="35" t="n"/>
      <c r="G78" s="25" t="n"/>
      <c r="H78" s="25" t="n"/>
      <c r="I78" s="25" t="n"/>
      <c r="J78" s="25" t="n"/>
      <c r="K78" s="35" t="n"/>
      <c r="L78" s="25" t="n"/>
    </row>
    <row r="79">
      <c r="A79" s="25" t="n"/>
      <c r="B79" s="25" t="n"/>
      <c r="C79" s="25" t="n"/>
      <c r="D79" s="25" t="n"/>
      <c r="E79" s="25" t="n"/>
      <c r="F79" s="35" t="n"/>
      <c r="G79" s="25" t="n"/>
      <c r="H79" s="25" t="n"/>
      <c r="I79" s="25" t="n"/>
      <c r="J79" s="25" t="n"/>
      <c r="K79" s="35" t="n"/>
      <c r="L79" s="25" t="n"/>
    </row>
    <row r="80">
      <c r="A80" s="25" t="n"/>
      <c r="B80" s="25" t="n"/>
      <c r="C80" s="25" t="n"/>
      <c r="D80" s="25" t="n"/>
      <c r="E80" s="25" t="n"/>
      <c r="F80" s="35" t="n"/>
      <c r="G80" s="25" t="n"/>
      <c r="H80" s="25" t="n"/>
      <c r="I80" s="25" t="n"/>
      <c r="J80" s="25" t="n"/>
      <c r="K80" s="35" t="n"/>
      <c r="L80" s="25" t="n"/>
    </row>
    <row r="81">
      <c r="A81" s="25" t="n"/>
      <c r="B81" s="25" t="n"/>
      <c r="C81" s="25" t="n"/>
      <c r="D81" s="25" t="n"/>
      <c r="E81" s="25" t="n"/>
      <c r="F81" s="35" t="n"/>
      <c r="G81" s="25" t="n"/>
      <c r="H81" s="25" t="n"/>
      <c r="I81" s="25" t="n"/>
      <c r="J81" s="25" t="n"/>
      <c r="K81" s="35" t="n"/>
      <c r="L81" s="25" t="n"/>
    </row>
    <row r="82">
      <c r="A82" s="25" t="n"/>
      <c r="B82" s="25" t="n"/>
      <c r="C82" s="25" t="n"/>
      <c r="D82" s="25" t="n"/>
      <c r="E82" s="25" t="n"/>
      <c r="F82" s="35" t="n"/>
      <c r="G82" s="25" t="n"/>
      <c r="H82" s="25" t="n"/>
      <c r="I82" s="25" t="n"/>
      <c r="J82" s="25" t="n"/>
      <c r="K82" s="35" t="n"/>
      <c r="L82" s="25" t="n"/>
    </row>
    <row r="83">
      <c r="A83" s="25" t="n"/>
      <c r="B83" s="25" t="n"/>
      <c r="C83" s="25" t="n"/>
      <c r="D83" s="25" t="n"/>
      <c r="E83" s="25" t="n"/>
      <c r="F83" s="35" t="n"/>
      <c r="G83" s="25" t="n"/>
      <c r="H83" s="25" t="n"/>
      <c r="I83" s="25" t="n"/>
      <c r="J83" s="25" t="n"/>
      <c r="K83" s="35" t="n"/>
      <c r="L83" s="25" t="n"/>
    </row>
    <row r="84">
      <c r="A84" s="25" t="n"/>
      <c r="B84" s="25" t="n"/>
      <c r="C84" s="25" t="n"/>
      <c r="D84" s="25" t="n"/>
      <c r="E84" s="25" t="n"/>
      <c r="F84" s="35" t="n"/>
      <c r="G84" s="25" t="n"/>
      <c r="H84" s="25" t="n"/>
      <c r="I84" s="25" t="n"/>
      <c r="J84" s="25" t="n"/>
      <c r="K84" s="35" t="n"/>
      <c r="L84" s="25" t="n"/>
    </row>
    <row r="85">
      <c r="A85" s="25" t="n"/>
      <c r="B85" s="25" t="n"/>
      <c r="C85" s="25" t="n"/>
      <c r="D85" s="25" t="n"/>
      <c r="E85" s="25" t="n"/>
      <c r="F85" s="35" t="n"/>
      <c r="G85" s="25" t="n"/>
      <c r="H85" s="25" t="n"/>
      <c r="I85" s="25" t="n"/>
      <c r="J85" s="25" t="n"/>
      <c r="K85" s="35" t="n"/>
      <c r="L85" s="25" t="n"/>
    </row>
    <row r="86">
      <c r="A86" s="25" t="n"/>
      <c r="B86" s="25" t="n"/>
      <c r="C86" s="25" t="n"/>
      <c r="D86" s="25" t="n"/>
      <c r="E86" s="25" t="n"/>
      <c r="F86" s="35" t="n"/>
      <c r="G86" s="25" t="n"/>
      <c r="H86" s="25" t="n"/>
      <c r="I86" s="25" t="n"/>
      <c r="J86" s="25" t="n"/>
      <c r="K86" s="35" t="n"/>
      <c r="L86" s="25" t="n"/>
    </row>
    <row r="87">
      <c r="A87" s="25" t="n"/>
      <c r="B87" s="25" t="n"/>
      <c r="C87" s="25" t="n"/>
      <c r="D87" s="25" t="n"/>
      <c r="E87" s="25" t="n"/>
      <c r="F87" s="35" t="n"/>
      <c r="G87" s="25" t="n"/>
      <c r="H87" s="25" t="n"/>
      <c r="I87" s="25" t="n"/>
      <c r="J87" s="25" t="n"/>
      <c r="K87" s="35" t="n"/>
      <c r="L87" s="25" t="n"/>
    </row>
    <row r="88">
      <c r="A88" s="25" t="n"/>
      <c r="B88" s="25" t="n"/>
      <c r="C88" s="25" t="n"/>
      <c r="D88" s="25" t="n"/>
      <c r="E88" s="25" t="n"/>
      <c r="F88" s="35" t="n"/>
      <c r="G88" s="25" t="n"/>
      <c r="H88" s="25" t="n"/>
      <c r="I88" s="25" t="n"/>
      <c r="J88" s="25" t="n"/>
      <c r="K88" s="35" t="n"/>
      <c r="L88" s="25" t="n"/>
    </row>
    <row r="89">
      <c r="A89" s="25" t="n"/>
      <c r="B89" s="25" t="n"/>
      <c r="C89" s="25" t="n"/>
      <c r="D89" s="25" t="n"/>
      <c r="E89" s="25" t="n"/>
      <c r="F89" s="35" t="n"/>
      <c r="G89" s="25" t="n"/>
      <c r="H89" s="25" t="n"/>
      <c r="I89" s="25" t="n"/>
      <c r="J89" s="25" t="n"/>
      <c r="K89" s="35" t="n"/>
      <c r="L89" s="25" t="n"/>
    </row>
    <row r="90">
      <c r="A90" s="25" t="n"/>
      <c r="B90" s="25" t="n"/>
      <c r="C90" s="25" t="n"/>
      <c r="D90" s="25" t="n"/>
      <c r="E90" s="25" t="n"/>
      <c r="F90" s="35" t="n"/>
      <c r="G90" s="25" t="n"/>
      <c r="H90" s="25" t="n"/>
      <c r="I90" s="25" t="n"/>
      <c r="J90" s="25" t="n"/>
      <c r="K90" s="35" t="n"/>
      <c r="L90" s="25" t="n"/>
    </row>
    <row r="91">
      <c r="A91" s="25" t="n"/>
      <c r="B91" s="25" t="n"/>
      <c r="C91" s="25" t="n"/>
      <c r="D91" s="25" t="n"/>
      <c r="E91" s="25" t="n"/>
      <c r="F91" s="35" t="n"/>
      <c r="G91" s="25" t="n"/>
      <c r="H91" s="25" t="n"/>
      <c r="I91" s="25" t="n"/>
      <c r="J91" s="25" t="n"/>
      <c r="K91" s="35" t="n"/>
      <c r="L91" s="25" t="n"/>
    </row>
    <row r="92">
      <c r="A92" s="25" t="n"/>
      <c r="B92" s="25" t="n"/>
      <c r="C92" s="25" t="n"/>
      <c r="D92" s="25" t="n"/>
      <c r="E92" s="25" t="n"/>
      <c r="F92" s="35" t="n"/>
      <c r="G92" s="25" t="n"/>
      <c r="H92" s="25" t="n"/>
      <c r="I92" s="25" t="n"/>
      <c r="J92" s="25" t="n"/>
      <c r="K92" s="35" t="n"/>
      <c r="L92" s="25" t="n"/>
    </row>
    <row r="93">
      <c r="A93" s="25" t="n"/>
      <c r="B93" s="25" t="n"/>
      <c r="C93" s="25" t="n"/>
      <c r="D93" s="25" t="n"/>
      <c r="E93" s="25" t="n"/>
      <c r="F93" s="35" t="n"/>
      <c r="G93" s="25" t="n"/>
      <c r="H93" s="25" t="n"/>
      <c r="I93" s="25" t="n"/>
      <c r="J93" s="25" t="n"/>
      <c r="K93" s="35" t="n"/>
      <c r="L93" s="25" t="n"/>
    </row>
    <row r="94">
      <c r="A94" s="25" t="n"/>
      <c r="B94" s="25" t="n"/>
      <c r="C94" s="25" t="n"/>
      <c r="D94" s="25" t="n"/>
      <c r="E94" s="25" t="n"/>
      <c r="F94" s="35" t="n"/>
      <c r="G94" s="25" t="n"/>
      <c r="H94" s="25" t="n"/>
      <c r="I94" s="25" t="n"/>
      <c r="J94" s="25" t="n"/>
      <c r="K94" s="35" t="n"/>
      <c r="L94" s="25" t="n"/>
    </row>
    <row r="95">
      <c r="A95" s="25" t="n"/>
      <c r="B95" s="25" t="n"/>
      <c r="C95" s="25" t="n"/>
      <c r="D95" s="25" t="n"/>
      <c r="E95" s="25" t="n"/>
      <c r="F95" s="35" t="n"/>
      <c r="G95" s="25" t="n"/>
      <c r="H95" s="25" t="n"/>
      <c r="I95" s="25" t="n"/>
      <c r="J95" s="25" t="n"/>
      <c r="K95" s="35" t="n"/>
      <c r="L95" s="25" t="n"/>
    </row>
    <row r="96">
      <c r="A96" s="25" t="n"/>
      <c r="B96" s="25" t="n"/>
      <c r="C96" s="25" t="n"/>
      <c r="D96" s="25" t="n"/>
      <c r="E96" s="25" t="n"/>
      <c r="F96" s="35" t="n"/>
      <c r="G96" s="25" t="n"/>
      <c r="H96" s="25" t="n"/>
      <c r="I96" s="25" t="n"/>
      <c r="J96" s="25" t="n"/>
      <c r="K96" s="35" t="n"/>
      <c r="L96" s="25" t="n"/>
    </row>
    <row r="97">
      <c r="A97" s="25" t="n"/>
      <c r="B97" s="25" t="n"/>
      <c r="C97" s="25" t="n"/>
      <c r="D97" s="25" t="n"/>
      <c r="E97" s="25" t="n"/>
      <c r="F97" s="35" t="n"/>
      <c r="G97" s="25" t="n"/>
      <c r="H97" s="25" t="n"/>
      <c r="I97" s="25" t="n"/>
      <c r="J97" s="25" t="n"/>
      <c r="K97" s="35" t="n"/>
      <c r="L97" s="25" t="n"/>
    </row>
    <row r="98">
      <c r="A98" s="25" t="n"/>
      <c r="B98" s="25" t="n"/>
      <c r="C98" s="25" t="n"/>
      <c r="D98" s="25" t="n"/>
      <c r="E98" s="25" t="n"/>
      <c r="F98" s="35" t="n"/>
      <c r="G98" s="25" t="n"/>
      <c r="H98" s="25" t="n"/>
      <c r="I98" s="25" t="n"/>
      <c r="J98" s="25" t="n"/>
      <c r="K98" s="35" t="n"/>
      <c r="L98" s="25" t="n"/>
    </row>
    <row r="99">
      <c r="A99" s="25" t="n"/>
      <c r="B99" s="25" t="n"/>
      <c r="C99" s="25" t="n"/>
      <c r="D99" s="25" t="n"/>
      <c r="E99" s="25" t="n"/>
      <c r="F99" s="35" t="n"/>
      <c r="G99" s="25" t="n"/>
      <c r="H99" s="25" t="n"/>
      <c r="I99" s="25" t="n"/>
      <c r="J99" s="25" t="n"/>
      <c r="K99" s="35" t="n"/>
      <c r="L99" s="25" t="n"/>
    </row>
    <row r="100">
      <c r="A100" s="25" t="n"/>
      <c r="B100" s="25" t="n"/>
      <c r="C100" s="25" t="n"/>
      <c r="D100" s="25" t="n"/>
      <c r="E100" s="25" t="n"/>
      <c r="F100" s="35" t="n"/>
      <c r="G100" s="25" t="n"/>
      <c r="H100" s="25" t="n"/>
      <c r="I100" s="25" t="n"/>
      <c r="J100" s="25" t="n"/>
      <c r="K100" s="35" t="n"/>
      <c r="L100" s="25" t="n"/>
    </row>
    <row r="101">
      <c r="A101" s="25" t="n"/>
      <c r="B101" s="25" t="n"/>
      <c r="C101" s="25" t="n"/>
      <c r="D101" s="25" t="n"/>
      <c r="E101" s="25" t="n"/>
      <c r="F101" s="35" t="n"/>
      <c r="G101" s="25" t="n"/>
      <c r="H101" s="25" t="n"/>
      <c r="I101" s="25" t="n"/>
      <c r="J101" s="25" t="n"/>
      <c r="K101" s="35" t="n"/>
      <c r="L101" s="25" t="n"/>
    </row>
    <row r="102">
      <c r="A102" s="25" t="n"/>
      <c r="B102" s="25" t="n"/>
      <c r="C102" s="25" t="n"/>
      <c r="D102" s="25" t="n"/>
      <c r="E102" s="25" t="n"/>
      <c r="F102" s="35" t="n"/>
      <c r="G102" s="25" t="n"/>
      <c r="H102" s="25" t="n"/>
      <c r="I102" s="25" t="n"/>
      <c r="J102" s="25" t="n"/>
      <c r="K102" s="35" t="n"/>
      <c r="L102" s="25" t="n"/>
    </row>
    <row r="103">
      <c r="A103" s="25" t="n"/>
      <c r="B103" s="25" t="n"/>
      <c r="C103" s="25" t="n"/>
      <c r="D103" s="25" t="n"/>
      <c r="E103" s="25" t="n"/>
      <c r="F103" s="35" t="n"/>
      <c r="G103" s="25" t="n"/>
      <c r="H103" s="25" t="n"/>
      <c r="I103" s="25" t="n"/>
      <c r="J103" s="25" t="n"/>
      <c r="K103" s="35" t="n"/>
      <c r="L103" s="25" t="n"/>
    </row>
    <row r="104">
      <c r="A104" s="25" t="n"/>
      <c r="B104" s="25" t="n"/>
      <c r="C104" s="25" t="n"/>
      <c r="D104" s="25" t="n"/>
      <c r="E104" s="25" t="n"/>
      <c r="F104" s="35" t="n"/>
      <c r="G104" s="25" t="n"/>
      <c r="H104" s="25" t="n"/>
      <c r="I104" s="25" t="n"/>
      <c r="J104" s="25" t="n"/>
      <c r="K104" s="35" t="n"/>
      <c r="L104" s="25" t="n"/>
    </row>
    <row r="105">
      <c r="A105" s="25" t="n"/>
      <c r="B105" s="25" t="n"/>
      <c r="C105" s="25" t="n"/>
      <c r="D105" s="25" t="n"/>
      <c r="E105" s="25" t="n"/>
      <c r="F105" s="35" t="n"/>
      <c r="G105" s="25" t="n"/>
      <c r="H105" s="25" t="n"/>
      <c r="I105" s="25" t="n"/>
      <c r="J105" s="25" t="n"/>
      <c r="K105" s="35" t="n"/>
      <c r="L105" s="25" t="n"/>
    </row>
    <row r="106">
      <c r="A106" s="25" t="n"/>
      <c r="B106" s="25" t="n"/>
      <c r="C106" s="25" t="n"/>
      <c r="D106" s="25" t="n"/>
      <c r="E106" s="25" t="n"/>
      <c r="F106" s="35" t="n"/>
      <c r="G106" s="25" t="n"/>
      <c r="H106" s="25" t="n"/>
      <c r="I106" s="25" t="n"/>
      <c r="J106" s="25" t="n"/>
      <c r="K106" s="35" t="n"/>
      <c r="L106" s="25" t="n"/>
    </row>
    <row r="107">
      <c r="A107" s="25" t="n"/>
      <c r="B107" s="25" t="n"/>
      <c r="C107" s="25" t="n"/>
      <c r="D107" s="25" t="n"/>
      <c r="E107" s="25" t="n"/>
      <c r="F107" s="35" t="n"/>
      <c r="G107" s="25" t="n"/>
      <c r="H107" s="25" t="n"/>
      <c r="I107" s="25" t="n"/>
      <c r="J107" s="25" t="n"/>
      <c r="K107" s="35" t="n"/>
      <c r="L107" s="25" t="n"/>
    </row>
    <row r="108">
      <c r="A108" s="25" t="n"/>
      <c r="B108" s="25" t="n"/>
      <c r="C108" s="25" t="n"/>
      <c r="D108" s="25" t="n"/>
      <c r="E108" s="25" t="n"/>
      <c r="F108" s="35" t="n"/>
      <c r="G108" s="25" t="n"/>
      <c r="H108" s="25" t="n"/>
      <c r="I108" s="25" t="n"/>
      <c r="J108" s="25" t="n"/>
      <c r="K108" s="35" t="n"/>
      <c r="L108" s="25" t="n"/>
    </row>
    <row r="109">
      <c r="A109" s="25" t="n"/>
      <c r="B109" s="25" t="n"/>
      <c r="C109" s="25" t="n"/>
      <c r="D109" s="25" t="n"/>
      <c r="E109" s="25" t="n"/>
      <c r="F109" s="35" t="n"/>
      <c r="G109" s="25" t="n"/>
      <c r="H109" s="25" t="n"/>
      <c r="I109" s="25" t="n"/>
      <c r="J109" s="25" t="n"/>
      <c r="K109" s="35" t="n"/>
      <c r="L109" s="25" t="n"/>
    </row>
    <row r="110">
      <c r="A110" s="25" t="n"/>
      <c r="B110" s="25" t="n"/>
      <c r="C110" s="25" t="n"/>
      <c r="D110" s="25" t="n"/>
      <c r="E110" s="25" t="n"/>
      <c r="F110" s="35" t="n"/>
      <c r="G110" s="25" t="n"/>
      <c r="H110" s="25" t="n"/>
      <c r="I110" s="25" t="n"/>
      <c r="J110" s="25" t="n"/>
      <c r="K110" s="35" t="n"/>
      <c r="L110" s="25" t="n"/>
    </row>
    <row r="111">
      <c r="A111" s="25" t="n"/>
      <c r="B111" s="25" t="n"/>
      <c r="C111" s="25" t="n"/>
      <c r="D111" s="25" t="n"/>
      <c r="E111" s="25" t="n"/>
      <c r="F111" s="35" t="n"/>
      <c r="G111" s="25" t="n"/>
      <c r="H111" s="25" t="n"/>
      <c r="I111" s="25" t="n"/>
      <c r="J111" s="25" t="n"/>
      <c r="K111" s="35" t="n"/>
      <c r="L111" s="25" t="n"/>
    </row>
    <row r="112">
      <c r="A112" s="25" t="n"/>
      <c r="B112" s="25" t="n"/>
      <c r="C112" s="25" t="n"/>
      <c r="D112" s="25" t="n"/>
      <c r="E112" s="25" t="n"/>
      <c r="F112" s="35" t="n"/>
      <c r="G112" s="25" t="n"/>
      <c r="H112" s="25" t="n"/>
      <c r="I112" s="25" t="n"/>
      <c r="J112" s="25" t="n"/>
      <c r="K112" s="35" t="n"/>
      <c r="L112" s="25" t="n"/>
    </row>
    <row r="113">
      <c r="A113" s="25" t="n"/>
      <c r="B113" s="25" t="n"/>
      <c r="C113" s="25" t="n"/>
      <c r="D113" s="25" t="n"/>
      <c r="E113" s="25" t="n"/>
      <c r="F113" s="35" t="n"/>
      <c r="G113" s="25" t="n"/>
      <c r="H113" s="25" t="n"/>
      <c r="I113" s="25" t="n"/>
      <c r="J113" s="25" t="n"/>
      <c r="K113" s="35" t="n"/>
      <c r="L113" s="25" t="n"/>
    </row>
    <row r="114">
      <c r="A114" s="25" t="n"/>
      <c r="B114" s="25" t="n"/>
      <c r="C114" s="25" t="n"/>
      <c r="D114" s="25" t="n"/>
      <c r="E114" s="25" t="n"/>
      <c r="F114" s="35" t="n"/>
      <c r="G114" s="25" t="n"/>
      <c r="H114" s="25" t="n"/>
      <c r="I114" s="25" t="n"/>
      <c r="J114" s="25" t="n"/>
      <c r="K114" s="35" t="n"/>
      <c r="L114" s="25" t="n"/>
    </row>
    <row r="115">
      <c r="A115" s="25" t="n"/>
      <c r="B115" s="25" t="n"/>
      <c r="C115" s="25" t="n"/>
      <c r="D115" s="25" t="n"/>
      <c r="E115" s="25" t="n"/>
      <c r="F115" s="35" t="n"/>
      <c r="G115" s="25" t="n"/>
      <c r="H115" s="25" t="n"/>
      <c r="I115" s="25" t="n"/>
      <c r="J115" s="25" t="n"/>
      <c r="K115" s="35" t="n"/>
      <c r="L115" s="25" t="n"/>
    </row>
    <row r="116">
      <c r="A116" s="25" t="n"/>
      <c r="B116" s="25" t="n"/>
      <c r="C116" s="25" t="n"/>
      <c r="D116" s="25" t="n"/>
      <c r="E116" s="25" t="n"/>
      <c r="F116" s="35" t="n"/>
      <c r="G116" s="25" t="n"/>
      <c r="H116" s="25" t="n"/>
      <c r="I116" s="25" t="n"/>
      <c r="J116" s="25" t="n"/>
      <c r="K116" s="35" t="n"/>
      <c r="L116" s="25" t="n"/>
    </row>
    <row r="117">
      <c r="A117" s="25" t="n"/>
      <c r="B117" s="25" t="n"/>
      <c r="C117" s="25" t="n"/>
      <c r="D117" s="25" t="n"/>
      <c r="E117" s="25" t="n"/>
      <c r="F117" s="35" t="n"/>
      <c r="G117" s="25" t="n"/>
      <c r="H117" s="25" t="n"/>
      <c r="I117" s="25" t="n"/>
      <c r="J117" s="25" t="n"/>
      <c r="K117" s="35" t="n"/>
      <c r="L117" s="25" t="n"/>
    </row>
    <row r="118">
      <c r="A118" s="25" t="n"/>
      <c r="B118" s="25" t="n"/>
      <c r="C118" s="25" t="n"/>
      <c r="D118" s="25" t="n"/>
      <c r="E118" s="25" t="n"/>
      <c r="F118" s="35" t="n"/>
      <c r="G118" s="25" t="n"/>
      <c r="H118" s="25" t="n"/>
      <c r="I118" s="25" t="n"/>
      <c r="J118" s="25" t="n"/>
      <c r="K118" s="35" t="n"/>
      <c r="L118" s="25" t="n"/>
    </row>
    <row r="119">
      <c r="A119" s="25" t="n"/>
      <c r="B119" s="25" t="n"/>
      <c r="C119" s="25" t="n"/>
      <c r="D119" s="25" t="n"/>
      <c r="E119" s="25" t="n"/>
      <c r="F119" s="35" t="n"/>
      <c r="G119" s="25" t="n"/>
      <c r="H119" s="25" t="n"/>
      <c r="I119" s="25" t="n"/>
      <c r="J119" s="25" t="n"/>
      <c r="K119" s="35" t="n"/>
      <c r="L119" s="25" t="n"/>
    </row>
    <row r="120">
      <c r="A120" s="25" t="n"/>
      <c r="B120" s="25" t="n"/>
      <c r="C120" s="25" t="n"/>
      <c r="D120" s="25" t="n"/>
      <c r="E120" s="25" t="n"/>
      <c r="F120" s="35" t="n"/>
      <c r="G120" s="25" t="n"/>
      <c r="H120" s="25" t="n"/>
      <c r="I120" s="25" t="n"/>
      <c r="J120" s="25" t="n"/>
      <c r="K120" s="35" t="n"/>
      <c r="L120" s="25" t="n"/>
    </row>
    <row r="121">
      <c r="A121" s="25" t="n"/>
      <c r="B121" s="25" t="n"/>
      <c r="C121" s="25" t="n"/>
      <c r="D121" s="25" t="n"/>
      <c r="E121" s="25" t="n"/>
      <c r="F121" s="35" t="n"/>
      <c r="G121" s="25" t="n"/>
      <c r="H121" s="25" t="n"/>
      <c r="I121" s="25" t="n"/>
      <c r="J121" s="25" t="n"/>
      <c r="K121" s="35" t="n"/>
      <c r="L121" s="25" t="n"/>
    </row>
    <row r="122">
      <c r="A122" s="25" t="n"/>
      <c r="B122" s="25" t="n"/>
      <c r="C122" s="25" t="n"/>
      <c r="D122" s="25" t="n"/>
      <c r="E122" s="25" t="n"/>
      <c r="F122" s="35" t="n"/>
      <c r="G122" s="25" t="n"/>
      <c r="H122" s="25" t="n"/>
      <c r="I122" s="25" t="n"/>
      <c r="J122" s="25" t="n"/>
      <c r="K122" s="35" t="n"/>
      <c r="L122" s="25" t="n"/>
    </row>
    <row r="123">
      <c r="A123" s="25" t="n"/>
      <c r="B123" s="25" t="n"/>
      <c r="C123" s="25" t="n"/>
      <c r="D123" s="25" t="n"/>
      <c r="E123" s="25" t="n"/>
      <c r="F123" s="35" t="n"/>
      <c r="G123" s="25" t="n"/>
      <c r="H123" s="25" t="n"/>
      <c r="I123" s="25" t="n"/>
      <c r="J123" s="25" t="n"/>
      <c r="K123" s="35" t="n"/>
      <c r="L123" s="25" t="n"/>
    </row>
    <row r="124">
      <c r="A124" s="25" t="n"/>
      <c r="B124" s="25" t="n"/>
      <c r="C124" s="25" t="n"/>
      <c r="D124" s="25" t="n"/>
      <c r="E124" s="25" t="n"/>
      <c r="F124" s="35" t="n"/>
      <c r="G124" s="25" t="n"/>
      <c r="H124" s="25" t="n"/>
      <c r="I124" s="25" t="n"/>
      <c r="J124" s="25" t="n"/>
      <c r="K124" s="35" t="n"/>
      <c r="L124" s="25" t="n"/>
    </row>
    <row r="125">
      <c r="A125" s="25" t="n"/>
      <c r="B125" s="25" t="n"/>
      <c r="C125" s="25" t="n"/>
      <c r="D125" s="25" t="n"/>
      <c r="E125" s="25" t="n"/>
      <c r="F125" s="35" t="n"/>
      <c r="G125" s="25" t="n"/>
      <c r="H125" s="25" t="n"/>
      <c r="I125" s="25" t="n"/>
      <c r="J125" s="25" t="n"/>
      <c r="K125" s="35" t="n"/>
      <c r="L125" s="25" t="n"/>
    </row>
    <row r="126">
      <c r="A126" s="25" t="n"/>
      <c r="B126" s="25" t="n"/>
      <c r="C126" s="25" t="n"/>
      <c r="D126" s="25" t="n"/>
      <c r="E126" s="25" t="n"/>
      <c r="F126" s="35" t="n"/>
      <c r="G126" s="25" t="n"/>
      <c r="H126" s="25" t="n"/>
      <c r="I126" s="25" t="n"/>
      <c r="J126" s="25" t="n"/>
      <c r="K126" s="35" t="n"/>
      <c r="L126" s="25" t="n"/>
    </row>
    <row r="127">
      <c r="A127" s="25" t="n"/>
      <c r="B127" s="25" t="n"/>
      <c r="C127" s="25" t="n"/>
      <c r="D127" s="25" t="n"/>
      <c r="E127" s="25" t="n"/>
      <c r="F127" s="35" t="n"/>
      <c r="G127" s="25" t="n"/>
      <c r="H127" s="25" t="n"/>
      <c r="I127" s="25" t="n"/>
      <c r="J127" s="25" t="n"/>
      <c r="K127" s="35" t="n"/>
      <c r="L127" s="25" t="n"/>
    </row>
    <row r="128">
      <c r="A128" s="25" t="n"/>
      <c r="B128" s="25" t="n"/>
      <c r="C128" s="25" t="n"/>
      <c r="D128" s="25" t="n"/>
      <c r="E128" s="25" t="n"/>
      <c r="F128" s="35" t="n"/>
      <c r="G128" s="25" t="n"/>
      <c r="H128" s="25" t="n"/>
      <c r="I128" s="25" t="n"/>
      <c r="J128" s="25" t="n"/>
      <c r="K128" s="35" t="n"/>
      <c r="L128" s="25" t="n"/>
    </row>
    <row r="129">
      <c r="A129" s="25" t="n"/>
      <c r="B129" s="25" t="n"/>
      <c r="C129" s="25" t="n"/>
      <c r="D129" s="25" t="n"/>
      <c r="E129" s="25" t="n"/>
      <c r="F129" s="35" t="n"/>
      <c r="G129" s="25" t="n"/>
      <c r="H129" s="25" t="n"/>
      <c r="I129" s="25" t="n"/>
      <c r="J129" s="25" t="n"/>
      <c r="K129" s="35" t="n"/>
      <c r="L129" s="25" t="n"/>
    </row>
    <row r="130">
      <c r="A130" s="25" t="n"/>
      <c r="B130" s="25" t="n"/>
      <c r="C130" s="25" t="n"/>
      <c r="D130" s="25" t="n"/>
      <c r="E130" s="25" t="n"/>
      <c r="F130" s="35" t="n"/>
      <c r="G130" s="25" t="n"/>
      <c r="H130" s="25" t="n"/>
      <c r="I130" s="25" t="n"/>
      <c r="J130" s="25" t="n"/>
      <c r="K130" s="35" t="n"/>
      <c r="L130" s="25" t="n"/>
    </row>
    <row r="131">
      <c r="A131" s="25" t="n"/>
      <c r="B131" s="25" t="n"/>
      <c r="C131" s="25" t="n"/>
      <c r="D131" s="25" t="n"/>
      <c r="E131" s="25" t="n"/>
      <c r="F131" s="35" t="n"/>
      <c r="G131" s="25" t="n"/>
      <c r="H131" s="25" t="n"/>
      <c r="I131" s="25" t="n"/>
      <c r="J131" s="25" t="n"/>
      <c r="K131" s="35" t="n"/>
      <c r="L131" s="25" t="n"/>
    </row>
    <row r="132">
      <c r="A132" s="25" t="n"/>
      <c r="B132" s="25" t="n"/>
      <c r="C132" s="25" t="n"/>
      <c r="D132" s="25" t="n"/>
      <c r="E132" s="25" t="n"/>
      <c r="F132" s="35" t="n"/>
      <c r="G132" s="25" t="n"/>
      <c r="H132" s="25" t="n"/>
      <c r="I132" s="25" t="n"/>
      <c r="J132" s="25" t="n"/>
      <c r="K132" s="35" t="n"/>
      <c r="L132" s="25" t="n"/>
    </row>
    <row r="133">
      <c r="A133" s="25" t="n"/>
      <c r="B133" s="25" t="n"/>
      <c r="C133" s="25" t="n"/>
      <c r="D133" s="25" t="n"/>
      <c r="E133" s="25" t="n"/>
      <c r="F133" s="35" t="n"/>
      <c r="G133" s="25" t="n"/>
      <c r="H133" s="25" t="n"/>
      <c r="I133" s="25" t="n"/>
      <c r="J133" s="25" t="n"/>
      <c r="K133" s="35" t="n"/>
      <c r="L133" s="25" t="n"/>
    </row>
    <row r="134">
      <c r="A134" s="25" t="n"/>
      <c r="B134" s="25" t="n"/>
      <c r="C134" s="25" t="n"/>
      <c r="D134" s="25" t="n"/>
      <c r="E134" s="25" t="n"/>
      <c r="F134" s="35" t="n"/>
      <c r="G134" s="25" t="n"/>
      <c r="H134" s="25" t="n"/>
      <c r="I134" s="25" t="n"/>
      <c r="J134" s="25" t="n"/>
      <c r="K134" s="35" t="n"/>
      <c r="L134" s="25" t="n"/>
    </row>
    <row r="135">
      <c r="A135" s="25" t="n"/>
      <c r="B135" s="25" t="n"/>
      <c r="C135" s="25" t="n"/>
      <c r="D135" s="25" t="n"/>
      <c r="E135" s="25" t="n"/>
      <c r="F135" s="35" t="n"/>
      <c r="G135" s="25" t="n"/>
      <c r="H135" s="25" t="n"/>
      <c r="I135" s="25" t="n"/>
      <c r="J135" s="25" t="n"/>
      <c r="K135" s="35" t="n"/>
      <c r="L135" s="25" t="n"/>
    </row>
    <row r="136">
      <c r="A136" s="25" t="n"/>
      <c r="B136" s="25" t="n"/>
      <c r="C136" s="25" t="n"/>
      <c r="D136" s="25" t="n"/>
      <c r="E136" s="25" t="n"/>
      <c r="F136" s="35" t="n"/>
      <c r="G136" s="25" t="n"/>
      <c r="H136" s="25" t="n"/>
      <c r="I136" s="25" t="n"/>
      <c r="J136" s="25" t="n"/>
      <c r="K136" s="35" t="n"/>
      <c r="L136" s="25" t="n"/>
    </row>
    <row r="137">
      <c r="A137" s="25" t="n"/>
      <c r="B137" s="25" t="n"/>
      <c r="C137" s="25" t="n"/>
      <c r="D137" s="25" t="n"/>
      <c r="E137" s="25" t="n"/>
      <c r="F137" s="35" t="n"/>
      <c r="G137" s="25" t="n"/>
      <c r="H137" s="25" t="n"/>
      <c r="I137" s="25" t="n"/>
      <c r="J137" s="25" t="n"/>
      <c r="K137" s="35" t="n"/>
      <c r="L137" s="25" t="n"/>
    </row>
    <row r="138">
      <c r="A138" s="25" t="n"/>
      <c r="B138" s="25" t="n"/>
      <c r="C138" s="25" t="n"/>
      <c r="D138" s="25" t="n"/>
      <c r="E138" s="25" t="n"/>
      <c r="F138" s="35" t="n"/>
      <c r="G138" s="25" t="n"/>
      <c r="H138" s="25" t="n"/>
      <c r="I138" s="25" t="n"/>
      <c r="J138" s="25" t="n"/>
      <c r="K138" s="35" t="n"/>
      <c r="L138" s="25" t="n"/>
    </row>
    <row r="139">
      <c r="A139" s="25" t="n"/>
      <c r="B139" s="25" t="n"/>
      <c r="C139" s="25" t="n"/>
      <c r="D139" s="25" t="n"/>
      <c r="E139" s="25" t="n"/>
      <c r="F139" s="35" t="n"/>
      <c r="G139" s="25" t="n"/>
      <c r="H139" s="25" t="n"/>
      <c r="I139" s="25" t="n"/>
      <c r="J139" s="25" t="n"/>
      <c r="K139" s="35" t="n"/>
      <c r="L139" s="25" t="n"/>
    </row>
    <row r="140">
      <c r="A140" s="25" t="n"/>
      <c r="B140" s="25" t="n"/>
      <c r="C140" s="25" t="n"/>
      <c r="D140" s="25" t="n"/>
      <c r="E140" s="25" t="n"/>
      <c r="F140" s="35" t="n"/>
      <c r="G140" s="25" t="n"/>
      <c r="H140" s="25" t="n"/>
      <c r="I140" s="25" t="n"/>
      <c r="J140" s="25" t="n"/>
      <c r="K140" s="35" t="n"/>
      <c r="L140" s="25" t="n"/>
    </row>
    <row r="141">
      <c r="A141" s="25" t="n"/>
      <c r="B141" s="25" t="n"/>
      <c r="C141" s="25" t="n"/>
      <c r="D141" s="25" t="n"/>
      <c r="E141" s="25" t="n"/>
      <c r="F141" s="35" t="n"/>
      <c r="G141" s="25" t="n"/>
      <c r="H141" s="25" t="n"/>
      <c r="I141" s="25" t="n"/>
      <c r="J141" s="25" t="n"/>
      <c r="K141" s="35" t="n"/>
      <c r="L141" s="25" t="n"/>
    </row>
    <row r="142">
      <c r="A142" s="25" t="n"/>
      <c r="B142" s="25" t="n"/>
      <c r="C142" s="25" t="n"/>
      <c r="D142" s="25" t="n"/>
      <c r="E142" s="25" t="n"/>
      <c r="F142" s="35" t="n"/>
      <c r="G142" s="25" t="n"/>
      <c r="H142" s="25" t="n"/>
      <c r="I142" s="25" t="n"/>
      <c r="J142" s="25" t="n"/>
      <c r="K142" s="35" t="n"/>
      <c r="L142" s="25" t="n"/>
    </row>
    <row r="143">
      <c r="A143" s="25" t="n"/>
      <c r="B143" s="25" t="n"/>
      <c r="C143" s="25" t="n"/>
      <c r="D143" s="25" t="n"/>
      <c r="E143" s="25" t="n"/>
      <c r="F143" s="35" t="n"/>
      <c r="G143" s="25" t="n"/>
      <c r="H143" s="25" t="n"/>
      <c r="I143" s="25" t="n"/>
      <c r="J143" s="25" t="n"/>
      <c r="K143" s="35" t="n"/>
      <c r="L143" s="25" t="n"/>
    </row>
    <row r="144">
      <c r="A144" s="25" t="n"/>
      <c r="B144" s="25" t="n"/>
      <c r="C144" s="25" t="n"/>
      <c r="D144" s="25" t="n"/>
      <c r="E144" s="25" t="n"/>
      <c r="F144" s="35" t="n"/>
      <c r="G144" s="25" t="n"/>
      <c r="H144" s="25" t="n"/>
      <c r="I144" s="25" t="n"/>
      <c r="J144" s="25" t="n"/>
      <c r="K144" s="35" t="n"/>
      <c r="L144" s="25" t="n"/>
    </row>
    <row r="145">
      <c r="A145" s="25" t="n"/>
      <c r="B145" s="25" t="n"/>
      <c r="C145" s="25" t="n"/>
      <c r="D145" s="25" t="n"/>
      <c r="E145" s="25" t="n"/>
      <c r="F145" s="35" t="n"/>
      <c r="G145" s="25" t="n"/>
      <c r="H145" s="25" t="n"/>
      <c r="I145" s="25" t="n"/>
      <c r="J145" s="25" t="n"/>
      <c r="K145" s="35" t="n"/>
      <c r="L145" s="25" t="n"/>
    </row>
    <row r="146">
      <c r="A146" s="25" t="n"/>
      <c r="B146" s="25" t="n"/>
      <c r="C146" s="25" t="n"/>
      <c r="D146" s="25" t="n"/>
      <c r="E146" s="25" t="n"/>
      <c r="F146" s="35" t="n"/>
      <c r="G146" s="25" t="n"/>
      <c r="H146" s="25" t="n"/>
      <c r="I146" s="25" t="n"/>
      <c r="J146" s="25" t="n"/>
      <c r="K146" s="35" t="n"/>
      <c r="L146" s="25" t="n"/>
    </row>
    <row r="147">
      <c r="A147" s="25" t="n"/>
      <c r="B147" s="25" t="n"/>
      <c r="C147" s="25" t="n"/>
      <c r="D147" s="25" t="n"/>
      <c r="E147" s="25" t="n"/>
      <c r="F147" s="35" t="n"/>
      <c r="G147" s="25" t="n"/>
      <c r="H147" s="25" t="n"/>
      <c r="I147" s="25" t="n"/>
      <c r="J147" s="25" t="n"/>
      <c r="K147" s="35" t="n"/>
      <c r="L147" s="25" t="n"/>
    </row>
    <row r="148">
      <c r="A148" s="25" t="n"/>
      <c r="B148" s="25" t="n"/>
      <c r="C148" s="25" t="n"/>
      <c r="D148" s="25" t="n"/>
      <c r="E148" s="25" t="n"/>
      <c r="F148" s="35" t="n"/>
      <c r="G148" s="25" t="n"/>
      <c r="H148" s="25" t="n"/>
      <c r="I148" s="25" t="n"/>
      <c r="J148" s="25" t="n"/>
      <c r="K148" s="35" t="n"/>
      <c r="L148" s="25" t="n"/>
    </row>
    <row r="149">
      <c r="A149" s="25" t="n"/>
      <c r="B149" s="25" t="n"/>
      <c r="C149" s="25" t="n"/>
      <c r="D149" s="25" t="n"/>
      <c r="E149" s="25" t="n"/>
      <c r="F149" s="35" t="n"/>
      <c r="G149" s="25" t="n"/>
      <c r="H149" s="25" t="n"/>
      <c r="I149" s="25" t="n"/>
      <c r="J149" s="25" t="n"/>
      <c r="K149" s="35" t="n"/>
      <c r="L149" s="25" t="n"/>
    </row>
    <row r="150">
      <c r="A150" s="25" t="n"/>
      <c r="B150" s="25" t="n"/>
      <c r="C150" s="25" t="n"/>
      <c r="D150" s="25" t="n"/>
      <c r="E150" s="25" t="n"/>
      <c r="F150" s="35" t="n"/>
      <c r="G150" s="25" t="n"/>
      <c r="H150" s="25" t="n"/>
      <c r="I150" s="25" t="n"/>
      <c r="J150" s="25" t="n"/>
      <c r="K150" s="35" t="n"/>
      <c r="L150" s="25" t="n"/>
    </row>
    <row r="151">
      <c r="A151" s="25" t="n"/>
      <c r="B151" s="25" t="n"/>
      <c r="C151" s="25" t="n"/>
      <c r="D151" s="25" t="n"/>
      <c r="E151" s="25" t="n"/>
      <c r="F151" s="35" t="n"/>
      <c r="G151" s="25" t="n"/>
      <c r="H151" s="25" t="n"/>
      <c r="I151" s="25" t="n"/>
      <c r="J151" s="25" t="n"/>
      <c r="K151" s="35" t="n"/>
      <c r="L151" s="25" t="n"/>
    </row>
    <row r="152">
      <c r="A152" s="25" t="n"/>
      <c r="B152" s="25" t="n"/>
      <c r="C152" s="25" t="n"/>
      <c r="D152" s="25" t="n"/>
      <c r="E152" s="25" t="n"/>
      <c r="F152" s="35" t="n"/>
      <c r="G152" s="25" t="n"/>
      <c r="H152" s="25" t="n"/>
      <c r="I152" s="25" t="n"/>
      <c r="J152" s="25" t="n"/>
      <c r="K152" s="35" t="n"/>
      <c r="L152" s="25" t="n"/>
    </row>
    <row r="153">
      <c r="A153" s="25" t="n"/>
      <c r="B153" s="25" t="n"/>
      <c r="C153" s="25" t="n"/>
      <c r="D153" s="25" t="n"/>
      <c r="E153" s="25" t="n"/>
      <c r="F153" s="35" t="n"/>
      <c r="G153" s="25" t="n"/>
      <c r="H153" s="25" t="n"/>
      <c r="I153" s="25" t="n"/>
      <c r="J153" s="25" t="n"/>
      <c r="K153" s="35" t="n"/>
      <c r="L153" s="25" t="n"/>
    </row>
    <row r="154">
      <c r="A154" s="25" t="n"/>
      <c r="B154" s="25" t="n"/>
      <c r="C154" s="25" t="n"/>
      <c r="D154" s="25" t="n"/>
      <c r="E154" s="25" t="n"/>
      <c r="F154" s="35" t="n"/>
      <c r="G154" s="25" t="n"/>
      <c r="H154" s="25" t="n"/>
      <c r="I154" s="25" t="n"/>
      <c r="J154" s="25" t="n"/>
      <c r="K154" s="35" t="n"/>
      <c r="L154" s="25" t="n"/>
    </row>
    <row r="155">
      <c r="A155" s="25" t="n"/>
      <c r="B155" s="25" t="n"/>
      <c r="C155" s="25" t="n"/>
      <c r="D155" s="25" t="n"/>
      <c r="E155" s="25" t="n"/>
      <c r="F155" s="35" t="n"/>
      <c r="G155" s="25" t="n"/>
      <c r="H155" s="25" t="n"/>
      <c r="I155" s="25" t="n"/>
      <c r="J155" s="25" t="n"/>
      <c r="K155" s="35" t="n"/>
      <c r="L155" s="25" t="n"/>
    </row>
    <row r="156">
      <c r="A156" s="25" t="n"/>
      <c r="B156" s="25" t="n"/>
      <c r="C156" s="25" t="n"/>
      <c r="D156" s="25" t="n"/>
      <c r="E156" s="25" t="n"/>
      <c r="F156" s="35" t="n"/>
      <c r="G156" s="25" t="n"/>
      <c r="H156" s="25" t="n"/>
      <c r="I156" s="25" t="n"/>
      <c r="J156" s="25" t="n"/>
      <c r="K156" s="35" t="n"/>
      <c r="L156" s="25" t="n"/>
    </row>
    <row r="157">
      <c r="A157" s="25" t="n"/>
      <c r="B157" s="25" t="n"/>
      <c r="C157" s="25" t="n"/>
      <c r="D157" s="25" t="n"/>
      <c r="E157" s="25" t="n"/>
      <c r="F157" s="35" t="n"/>
      <c r="G157" s="25" t="n"/>
      <c r="H157" s="25" t="n"/>
      <c r="I157" s="25" t="n"/>
      <c r="J157" s="25" t="n"/>
      <c r="K157" s="35" t="n"/>
      <c r="L157" s="25" t="n"/>
    </row>
    <row r="158">
      <c r="A158" s="25" t="n"/>
      <c r="B158" s="25" t="n"/>
      <c r="C158" s="25" t="n"/>
      <c r="D158" s="25" t="n"/>
      <c r="E158" s="25" t="n"/>
      <c r="F158" s="35" t="n"/>
      <c r="G158" s="25" t="n"/>
      <c r="H158" s="25" t="n"/>
      <c r="I158" s="25" t="n"/>
      <c r="J158" s="25" t="n"/>
      <c r="K158" s="35" t="n"/>
      <c r="L158" s="25" t="n"/>
    </row>
    <row r="159">
      <c r="A159" s="25" t="n"/>
      <c r="B159" s="25" t="n"/>
      <c r="C159" s="25" t="n"/>
      <c r="D159" s="25" t="n"/>
      <c r="E159" s="25" t="n"/>
      <c r="F159" s="35" t="n"/>
      <c r="G159" s="25" t="n"/>
      <c r="H159" s="25" t="n"/>
      <c r="I159" s="25" t="n"/>
      <c r="J159" s="25" t="n"/>
      <c r="K159" s="35" t="n"/>
      <c r="L159" s="25" t="n"/>
    </row>
    <row r="160">
      <c r="A160" s="25" t="n"/>
      <c r="B160" s="25" t="n"/>
      <c r="C160" s="25" t="n"/>
      <c r="D160" s="25" t="n"/>
      <c r="E160" s="25" t="n"/>
      <c r="F160" s="35" t="n"/>
      <c r="G160" s="25" t="n"/>
      <c r="H160" s="25" t="n"/>
      <c r="I160" s="25" t="n"/>
      <c r="J160" s="25" t="n"/>
      <c r="K160" s="35" t="n"/>
      <c r="L160" s="25" t="n"/>
    </row>
    <row r="161">
      <c r="A161" s="25" t="n"/>
      <c r="B161" s="25" t="n"/>
      <c r="C161" s="25" t="n"/>
      <c r="D161" s="25" t="n"/>
      <c r="E161" s="25" t="n"/>
      <c r="F161" s="35" t="n"/>
      <c r="G161" s="25" t="n"/>
      <c r="H161" s="25" t="n"/>
      <c r="I161" s="25" t="n"/>
      <c r="J161" s="25" t="n"/>
      <c r="K161" s="35" t="n"/>
      <c r="L161" s="25" t="n"/>
    </row>
    <row r="162">
      <c r="A162" s="25" t="n"/>
      <c r="B162" s="25" t="n"/>
      <c r="C162" s="25" t="n"/>
      <c r="D162" s="25" t="n"/>
      <c r="E162" s="25" t="n"/>
      <c r="F162" s="35" t="n"/>
      <c r="G162" s="25" t="n"/>
      <c r="H162" s="25" t="n"/>
      <c r="I162" s="25" t="n"/>
      <c r="J162" s="25" t="n"/>
      <c r="K162" s="35" t="n"/>
      <c r="L162" s="25" t="n"/>
    </row>
    <row r="163">
      <c r="A163" s="25" t="n"/>
      <c r="B163" s="25" t="n"/>
      <c r="C163" s="25" t="n"/>
      <c r="D163" s="25" t="n"/>
      <c r="E163" s="25" t="n"/>
      <c r="F163" s="35" t="n"/>
      <c r="G163" s="25" t="n"/>
      <c r="H163" s="25" t="n"/>
      <c r="I163" s="25" t="n"/>
      <c r="J163" s="25" t="n"/>
      <c r="K163" s="35" t="n"/>
      <c r="L163" s="25" t="n"/>
    </row>
    <row r="164">
      <c r="A164" s="25" t="n"/>
      <c r="B164" s="25" t="n"/>
      <c r="C164" s="25" t="n"/>
      <c r="D164" s="25" t="n"/>
      <c r="E164" s="25" t="n"/>
      <c r="F164" s="35" t="n"/>
      <c r="G164" s="25" t="n"/>
      <c r="H164" s="25" t="n"/>
      <c r="I164" s="25" t="n"/>
      <c r="J164" s="25" t="n"/>
      <c r="K164" s="35" t="n"/>
      <c r="L164" s="25" t="n"/>
    </row>
    <row r="165">
      <c r="A165" s="25" t="n"/>
      <c r="B165" s="25" t="n"/>
      <c r="C165" s="25" t="n"/>
      <c r="D165" s="25" t="n"/>
      <c r="E165" s="25" t="n"/>
      <c r="F165" s="35" t="n"/>
      <c r="G165" s="25" t="n"/>
      <c r="H165" s="25" t="n"/>
      <c r="I165" s="25" t="n"/>
      <c r="J165" s="25" t="n"/>
      <c r="K165" s="35" t="n"/>
      <c r="L165" s="25" t="n"/>
    </row>
    <row r="166">
      <c r="A166" s="25" t="n"/>
      <c r="B166" s="25" t="n"/>
      <c r="C166" s="25" t="n"/>
      <c r="D166" s="25" t="n"/>
      <c r="E166" s="25" t="n"/>
      <c r="F166" s="35" t="n"/>
      <c r="G166" s="25" t="n"/>
      <c r="H166" s="25" t="n"/>
      <c r="I166" s="25" t="n"/>
      <c r="J166" s="25" t="n"/>
      <c r="K166" s="35" t="n"/>
      <c r="L166" s="25" t="n"/>
    </row>
    <row r="167">
      <c r="A167" s="25" t="n"/>
      <c r="B167" s="25" t="n"/>
      <c r="C167" s="25" t="n"/>
      <c r="D167" s="25" t="n"/>
      <c r="E167" s="25" t="n"/>
      <c r="F167" s="35" t="n"/>
      <c r="G167" s="25" t="n"/>
      <c r="H167" s="25" t="n"/>
      <c r="I167" s="25" t="n"/>
      <c r="J167" s="25" t="n"/>
      <c r="K167" s="35" t="n"/>
      <c r="L167" s="25" t="n"/>
    </row>
    <row r="168">
      <c r="A168" s="25" t="n"/>
      <c r="B168" s="25" t="n"/>
      <c r="C168" s="25" t="n"/>
      <c r="D168" s="25" t="n"/>
      <c r="E168" s="25" t="n"/>
      <c r="F168" s="35" t="n"/>
      <c r="G168" s="25" t="n"/>
      <c r="H168" s="25" t="n"/>
      <c r="I168" s="25" t="n"/>
      <c r="J168" s="25" t="n"/>
      <c r="K168" s="35" t="n"/>
      <c r="L168" s="25" t="n"/>
    </row>
    <row r="169">
      <c r="A169" s="25" t="n"/>
      <c r="B169" s="25" t="n"/>
      <c r="C169" s="25" t="n"/>
      <c r="D169" s="25" t="n"/>
      <c r="E169" s="25" t="n"/>
      <c r="F169" s="35" t="n"/>
      <c r="G169" s="25" t="n"/>
      <c r="H169" s="25" t="n"/>
      <c r="I169" s="25" t="n"/>
      <c r="J169" s="25" t="n"/>
      <c r="K169" s="35" t="n"/>
      <c r="L169" s="25" t="n"/>
    </row>
    <row r="170">
      <c r="A170" s="25" t="n"/>
      <c r="B170" s="25" t="n"/>
      <c r="C170" s="25" t="n"/>
      <c r="D170" s="25" t="n"/>
      <c r="E170" s="25" t="n"/>
      <c r="F170" s="35" t="n"/>
      <c r="G170" s="25" t="n"/>
      <c r="H170" s="25" t="n"/>
      <c r="I170" s="25" t="n"/>
      <c r="J170" s="25" t="n"/>
      <c r="K170" s="35" t="n"/>
      <c r="L170" s="25" t="n"/>
    </row>
    <row r="171">
      <c r="A171" s="25" t="n"/>
      <c r="B171" s="25" t="n"/>
      <c r="C171" s="25" t="n"/>
      <c r="D171" s="25" t="n"/>
      <c r="E171" s="25" t="n"/>
      <c r="F171" s="35" t="n"/>
      <c r="G171" s="25" t="n"/>
      <c r="H171" s="25" t="n"/>
      <c r="I171" s="25" t="n"/>
      <c r="J171" s="25" t="n"/>
      <c r="K171" s="35" t="n"/>
      <c r="L171" s="25" t="n"/>
    </row>
    <row r="172">
      <c r="A172" s="25" t="n"/>
      <c r="B172" s="25" t="n"/>
      <c r="C172" s="25" t="n"/>
      <c r="D172" s="25" t="n"/>
      <c r="E172" s="25" t="n"/>
      <c r="F172" s="35" t="n"/>
      <c r="G172" s="25" t="n"/>
      <c r="H172" s="25" t="n"/>
      <c r="I172" s="25" t="n"/>
      <c r="J172" s="25" t="n"/>
      <c r="K172" s="35" t="n"/>
      <c r="L172" s="25" t="n"/>
    </row>
    <row r="173">
      <c r="A173" s="25" t="n"/>
      <c r="B173" s="25" t="n"/>
      <c r="C173" s="25" t="n"/>
      <c r="D173" s="25" t="n"/>
      <c r="E173" s="25" t="n"/>
      <c r="F173" s="35" t="n"/>
      <c r="G173" s="25" t="n"/>
      <c r="H173" s="25" t="n"/>
      <c r="I173" s="25" t="n"/>
      <c r="J173" s="25" t="n"/>
      <c r="K173" s="35" t="n"/>
      <c r="L173" s="25" t="n"/>
    </row>
    <row r="174">
      <c r="A174" s="25" t="n"/>
      <c r="B174" s="25" t="n"/>
      <c r="C174" s="25" t="n"/>
      <c r="D174" s="25" t="n"/>
      <c r="E174" s="25" t="n"/>
      <c r="F174" s="35" t="n"/>
      <c r="G174" s="25" t="n"/>
      <c r="H174" s="25" t="n"/>
      <c r="I174" s="25" t="n"/>
      <c r="J174" s="25" t="n"/>
      <c r="K174" s="35" t="n"/>
      <c r="L174" s="25" t="n"/>
    </row>
    <row r="175">
      <c r="A175" s="25" t="n"/>
      <c r="B175" s="25" t="n"/>
      <c r="C175" s="25" t="n"/>
      <c r="D175" s="25" t="n"/>
      <c r="E175" s="25" t="n"/>
      <c r="F175" s="35" t="n"/>
      <c r="G175" s="25" t="n"/>
      <c r="H175" s="25" t="n"/>
      <c r="I175" s="25" t="n"/>
      <c r="J175" s="25" t="n"/>
      <c r="K175" s="35" t="n"/>
      <c r="L175" s="25" t="n"/>
    </row>
    <row r="176">
      <c r="A176" s="25" t="n"/>
      <c r="B176" s="25" t="n"/>
      <c r="C176" s="25" t="n"/>
      <c r="D176" s="25" t="n"/>
      <c r="E176" s="25" t="n"/>
      <c r="F176" s="35" t="n"/>
      <c r="G176" s="25" t="n"/>
      <c r="H176" s="25" t="n"/>
      <c r="I176" s="25" t="n"/>
      <c r="J176" s="25" t="n"/>
      <c r="K176" s="35" t="n"/>
      <c r="L176" s="25" t="n"/>
    </row>
    <row r="177">
      <c r="A177" s="25" t="n"/>
      <c r="B177" s="25" t="n"/>
      <c r="C177" s="25" t="n"/>
      <c r="D177" s="25" t="n"/>
      <c r="E177" s="25" t="n"/>
      <c r="F177" s="35" t="n"/>
      <c r="G177" s="25" t="n"/>
      <c r="H177" s="25" t="n"/>
      <c r="I177" s="25" t="n"/>
      <c r="J177" s="25" t="n"/>
      <c r="K177" s="35" t="n"/>
      <c r="L177" s="25" t="n"/>
    </row>
    <row r="178">
      <c r="A178" s="25" t="n"/>
      <c r="B178" s="25" t="n"/>
      <c r="C178" s="25" t="n"/>
      <c r="D178" s="25" t="n"/>
      <c r="E178" s="25" t="n"/>
      <c r="F178" s="35" t="n"/>
      <c r="G178" s="25" t="n"/>
      <c r="H178" s="25" t="n"/>
      <c r="I178" s="25" t="n"/>
      <c r="J178" s="25" t="n"/>
      <c r="K178" s="35" t="n"/>
      <c r="L178" s="25" t="n"/>
    </row>
    <row r="179">
      <c r="A179" s="25" t="n"/>
      <c r="B179" s="25" t="n"/>
      <c r="C179" s="25" t="n"/>
      <c r="D179" s="25" t="n"/>
      <c r="E179" s="25" t="n"/>
      <c r="F179" s="35" t="n"/>
      <c r="G179" s="25" t="n"/>
      <c r="H179" s="25" t="n"/>
      <c r="I179" s="25" t="n"/>
      <c r="J179" s="25" t="n"/>
      <c r="K179" s="35" t="n"/>
      <c r="L179" s="25" t="n"/>
    </row>
    <row r="180">
      <c r="A180" s="25" t="n"/>
      <c r="B180" s="25" t="n"/>
      <c r="C180" s="25" t="n"/>
      <c r="D180" s="25" t="n"/>
      <c r="E180" s="25" t="n"/>
      <c r="F180" s="35" t="n"/>
      <c r="G180" s="25" t="n"/>
      <c r="H180" s="25" t="n"/>
      <c r="I180" s="25" t="n"/>
      <c r="J180" s="25" t="n"/>
      <c r="K180" s="35" t="n"/>
      <c r="L180" s="25" t="n"/>
    </row>
    <row r="181">
      <c r="A181" s="25" t="n"/>
      <c r="B181" s="25" t="n"/>
      <c r="C181" s="25" t="n"/>
      <c r="D181" s="25" t="n"/>
      <c r="E181" s="25" t="n"/>
      <c r="F181" s="35" t="n"/>
      <c r="G181" s="25" t="n"/>
      <c r="H181" s="25" t="n"/>
      <c r="I181" s="25" t="n"/>
      <c r="J181" s="25" t="n"/>
      <c r="K181" s="35" t="n"/>
      <c r="L181" s="25" t="n"/>
    </row>
    <row r="182">
      <c r="A182" s="25" t="n"/>
      <c r="B182" s="25" t="n"/>
      <c r="C182" s="25" t="n"/>
      <c r="D182" s="25" t="n"/>
      <c r="E182" s="25" t="n"/>
      <c r="F182" s="35" t="n"/>
      <c r="G182" s="25" t="n"/>
      <c r="H182" s="25" t="n"/>
      <c r="I182" s="25" t="n"/>
      <c r="J182" s="25" t="n"/>
      <c r="K182" s="35" t="n"/>
      <c r="L182" s="25" t="n"/>
    </row>
    <row r="183">
      <c r="A183" s="25" t="n"/>
      <c r="B183" s="25" t="n"/>
      <c r="C183" s="25" t="n"/>
      <c r="D183" s="25" t="n"/>
      <c r="E183" s="25" t="n"/>
      <c r="F183" s="35" t="n"/>
      <c r="G183" s="25" t="n"/>
      <c r="H183" s="25" t="n"/>
      <c r="I183" s="25" t="n"/>
      <c r="J183" s="25" t="n"/>
      <c r="K183" s="35" t="n"/>
      <c r="L183" s="25" t="n"/>
    </row>
    <row r="184">
      <c r="A184" s="25" t="n"/>
      <c r="B184" s="25" t="n"/>
      <c r="C184" s="25" t="n"/>
      <c r="D184" s="25" t="n"/>
      <c r="E184" s="25" t="n"/>
      <c r="F184" s="35" t="n"/>
      <c r="G184" s="25" t="n"/>
      <c r="H184" s="25" t="n"/>
      <c r="I184" s="25" t="n"/>
      <c r="J184" s="25" t="n"/>
      <c r="K184" s="35" t="n"/>
      <c r="L184" s="25" t="n"/>
    </row>
    <row r="185">
      <c r="A185" s="25" t="n"/>
      <c r="B185" s="25" t="n"/>
      <c r="C185" s="25" t="n"/>
      <c r="D185" s="25" t="n"/>
      <c r="E185" s="25" t="n"/>
      <c r="F185" s="35" t="n"/>
      <c r="G185" s="25" t="n"/>
      <c r="H185" s="25" t="n"/>
      <c r="I185" s="25" t="n"/>
      <c r="J185" s="25" t="n"/>
      <c r="K185" s="35" t="n"/>
      <c r="L185" s="25" t="n"/>
    </row>
    <row r="186">
      <c r="A186" s="25" t="n"/>
      <c r="B186" s="25" t="n"/>
      <c r="C186" s="25" t="n"/>
      <c r="D186" s="25" t="n"/>
      <c r="E186" s="25" t="n"/>
      <c r="F186" s="35" t="n"/>
      <c r="G186" s="25" t="n"/>
      <c r="H186" s="25" t="n"/>
      <c r="I186" s="25" t="n"/>
      <c r="J186" s="25" t="n"/>
      <c r="K186" s="35" t="n"/>
      <c r="L186" s="25" t="n"/>
    </row>
    <row r="187">
      <c r="A187" s="25" t="n"/>
      <c r="B187" s="25" t="n"/>
      <c r="C187" s="25" t="n"/>
      <c r="D187" s="25" t="n"/>
      <c r="E187" s="25" t="n"/>
      <c r="F187" s="35" t="n"/>
      <c r="G187" s="25" t="n"/>
      <c r="H187" s="25" t="n"/>
      <c r="I187" s="25" t="n"/>
      <c r="J187" s="25" t="n"/>
      <c r="K187" s="35" t="n"/>
      <c r="L187" s="25" t="n"/>
    </row>
    <row r="188">
      <c r="A188" s="25" t="n"/>
      <c r="B188" s="25" t="n"/>
      <c r="C188" s="25" t="n"/>
      <c r="D188" s="25" t="n"/>
      <c r="E188" s="25" t="n"/>
      <c r="F188" s="35" t="n"/>
      <c r="G188" s="25" t="n"/>
      <c r="H188" s="25" t="n"/>
      <c r="I188" s="25" t="n"/>
      <c r="J188" s="25" t="n"/>
      <c r="K188" s="35" t="n"/>
      <c r="L188" s="25" t="n"/>
    </row>
    <row r="189">
      <c r="A189" s="25" t="n"/>
      <c r="B189" s="25" t="n"/>
      <c r="C189" s="25" t="n"/>
      <c r="D189" s="25" t="n"/>
      <c r="E189" s="25" t="n"/>
      <c r="F189" s="35" t="n"/>
      <c r="G189" s="25" t="n"/>
      <c r="H189" s="25" t="n"/>
      <c r="I189" s="25" t="n"/>
      <c r="J189" s="25" t="n"/>
      <c r="K189" s="35" t="n"/>
      <c r="L189" s="25" t="n"/>
    </row>
    <row r="190">
      <c r="A190" s="25" t="n"/>
      <c r="B190" s="25" t="n"/>
      <c r="C190" s="25" t="n"/>
      <c r="D190" s="25" t="n"/>
      <c r="E190" s="25" t="n"/>
      <c r="F190" s="35" t="n"/>
      <c r="G190" s="25" t="n"/>
      <c r="H190" s="25" t="n"/>
      <c r="I190" s="25" t="n"/>
      <c r="J190" s="25" t="n"/>
      <c r="K190" s="35" t="n"/>
      <c r="L190" s="25" t="n"/>
    </row>
    <row r="191">
      <c r="A191" s="25" t="n"/>
      <c r="B191" s="25" t="n"/>
      <c r="C191" s="25" t="n"/>
      <c r="D191" s="25" t="n"/>
      <c r="E191" s="25" t="n"/>
      <c r="F191" s="35" t="n"/>
      <c r="G191" s="25" t="n"/>
      <c r="H191" s="25" t="n"/>
      <c r="I191" s="25" t="n"/>
      <c r="J191" s="25" t="n"/>
      <c r="K191" s="35" t="n"/>
      <c r="L191" s="25" t="n"/>
    </row>
    <row r="192">
      <c r="A192" s="25" t="n"/>
      <c r="B192" s="25" t="n"/>
      <c r="C192" s="25" t="n"/>
      <c r="D192" s="25" t="n"/>
      <c r="E192" s="25" t="n"/>
      <c r="F192" s="35" t="n"/>
      <c r="G192" s="25" t="n"/>
      <c r="H192" s="25" t="n"/>
      <c r="I192" s="25" t="n"/>
      <c r="J192" s="25" t="n"/>
      <c r="K192" s="35" t="n"/>
      <c r="L192" s="25" t="n"/>
    </row>
    <row r="193">
      <c r="A193" s="25" t="n"/>
      <c r="B193" s="25" t="n"/>
      <c r="C193" s="25" t="n"/>
      <c r="D193" s="25" t="n"/>
      <c r="E193" s="25" t="n"/>
      <c r="F193" s="35" t="n"/>
      <c r="G193" s="25" t="n"/>
      <c r="H193" s="25" t="n"/>
      <c r="I193" s="25" t="n"/>
      <c r="J193" s="25" t="n"/>
      <c r="K193" s="35" t="n"/>
      <c r="L193" s="25" t="n"/>
    </row>
    <row r="194">
      <c r="A194" s="25" t="n"/>
      <c r="B194" s="25" t="n"/>
      <c r="C194" s="25" t="n"/>
      <c r="D194" s="25" t="n"/>
      <c r="E194" s="25" t="n"/>
      <c r="F194" s="35" t="n"/>
      <c r="G194" s="25" t="n"/>
      <c r="H194" s="25" t="n"/>
      <c r="I194" s="25" t="n"/>
      <c r="J194" s="25" t="n"/>
      <c r="K194" s="35" t="n"/>
      <c r="L194" s="25" t="n"/>
    </row>
    <row r="195">
      <c r="A195" s="25" t="n"/>
      <c r="B195" s="25" t="n"/>
      <c r="C195" s="25" t="n"/>
      <c r="D195" s="25" t="n"/>
      <c r="E195" s="25" t="n"/>
      <c r="F195" s="35" t="n"/>
      <c r="G195" s="25" t="n"/>
      <c r="H195" s="25" t="n"/>
      <c r="I195" s="25" t="n"/>
      <c r="J195" s="25" t="n"/>
      <c r="K195" s="35" t="n"/>
      <c r="L195" s="25" t="n"/>
    </row>
    <row r="196">
      <c r="A196" s="25" t="n"/>
      <c r="B196" s="25" t="n"/>
      <c r="C196" s="25" t="n"/>
      <c r="D196" s="25" t="n"/>
      <c r="E196" s="25" t="n"/>
      <c r="F196" s="35" t="n"/>
      <c r="G196" s="25" t="n"/>
      <c r="H196" s="25" t="n"/>
      <c r="I196" s="25" t="n"/>
      <c r="J196" s="25" t="n"/>
      <c r="K196" s="35" t="n"/>
      <c r="L196" s="25" t="n"/>
    </row>
    <row r="197">
      <c r="A197" s="25" t="n"/>
      <c r="B197" s="25" t="n"/>
      <c r="C197" s="25" t="n"/>
      <c r="D197" s="25" t="n"/>
      <c r="E197" s="25" t="n"/>
      <c r="F197" s="35" t="n"/>
      <c r="G197" s="25" t="n"/>
      <c r="H197" s="25" t="n"/>
      <c r="I197" s="25" t="n"/>
      <c r="J197" s="25" t="n"/>
      <c r="K197" s="35" t="n"/>
      <c r="L197" s="25" t="n"/>
    </row>
    <row r="198">
      <c r="A198" s="25" t="n"/>
      <c r="B198" s="25" t="n"/>
      <c r="C198" s="25" t="n"/>
      <c r="D198" s="25" t="n"/>
      <c r="E198" s="25" t="n"/>
      <c r="F198" s="35" t="n"/>
      <c r="G198" s="25" t="n"/>
      <c r="H198" s="25" t="n"/>
      <c r="I198" s="25" t="n"/>
      <c r="J198" s="25" t="n"/>
      <c r="K198" s="35" t="n"/>
      <c r="L198" s="25" t="n"/>
    </row>
    <row r="199">
      <c r="A199" s="25" t="n"/>
      <c r="B199" s="25" t="n"/>
      <c r="C199" s="25" t="n"/>
      <c r="D199" s="25" t="n"/>
      <c r="E199" s="25" t="n"/>
      <c r="F199" s="35" t="n"/>
      <c r="G199" s="25" t="n"/>
      <c r="H199" s="25" t="n"/>
      <c r="I199" s="25" t="n"/>
      <c r="J199" s="25" t="n"/>
      <c r="K199" s="35" t="n"/>
      <c r="L199" s="25" t="n"/>
    </row>
    <row r="200">
      <c r="A200" s="25" t="n"/>
      <c r="B200" s="25" t="n"/>
      <c r="C200" s="25" t="n"/>
      <c r="D200" s="25" t="n"/>
      <c r="E200" s="25" t="n"/>
      <c r="F200" s="35" t="n"/>
      <c r="G200" s="25" t="n"/>
      <c r="H200" s="25" t="n"/>
      <c r="I200" s="25" t="n"/>
      <c r="J200" s="25" t="n"/>
      <c r="K200" s="35" t="n"/>
      <c r="L200" s="25" t="n"/>
    </row>
    <row r="201">
      <c r="A201" s="25" t="n"/>
      <c r="B201" s="25" t="n"/>
      <c r="C201" s="25" t="n"/>
      <c r="D201" s="25" t="n"/>
      <c r="E201" s="25" t="n"/>
      <c r="F201" s="35" t="n"/>
      <c r="G201" s="25" t="n"/>
      <c r="H201" s="25" t="n"/>
      <c r="I201" s="25" t="n"/>
      <c r="J201" s="25" t="n"/>
      <c r="K201" s="35" t="n"/>
      <c r="L201" s="25" t="n"/>
    </row>
    <row r="202">
      <c r="A202" s="25" t="n"/>
      <c r="B202" s="25" t="n"/>
      <c r="C202" s="25" t="n"/>
      <c r="D202" s="25" t="n"/>
      <c r="E202" s="25" t="n"/>
      <c r="F202" s="35" t="n"/>
      <c r="G202" s="25" t="n"/>
      <c r="H202" s="25" t="n"/>
      <c r="I202" s="25" t="n"/>
      <c r="J202" s="25" t="n"/>
      <c r="K202" s="35" t="n"/>
      <c r="L202" s="25" t="n"/>
    </row>
    <row r="203">
      <c r="A203" s="25" t="n"/>
      <c r="B203" s="25" t="n"/>
      <c r="C203" s="25" t="n"/>
      <c r="D203" s="25" t="n"/>
      <c r="E203" s="25" t="n"/>
      <c r="F203" s="35" t="n"/>
      <c r="G203" s="25" t="n"/>
      <c r="H203" s="25" t="n"/>
      <c r="I203" s="25" t="n"/>
      <c r="J203" s="25" t="n"/>
      <c r="K203" s="35" t="n"/>
      <c r="L203" s="25" t="n"/>
    </row>
    <row r="204">
      <c r="A204" s="25" t="n"/>
      <c r="B204" s="25" t="n"/>
      <c r="C204" s="25" t="n"/>
      <c r="D204" s="25" t="n"/>
      <c r="E204" s="25" t="n"/>
      <c r="F204" s="35" t="n"/>
      <c r="G204" s="25" t="n"/>
      <c r="H204" s="25" t="n"/>
      <c r="I204" s="25" t="n"/>
      <c r="J204" s="25" t="n"/>
      <c r="K204" s="35" t="n"/>
      <c r="L204" s="25" t="n"/>
    </row>
    <row r="205">
      <c r="A205" s="25" t="n"/>
      <c r="B205" s="25" t="n"/>
      <c r="C205" s="25" t="n"/>
      <c r="D205" s="25" t="n"/>
      <c r="E205" s="25" t="n"/>
      <c r="F205" s="35" t="n"/>
      <c r="G205" s="25" t="n"/>
      <c r="H205" s="25" t="n"/>
      <c r="I205" s="25" t="n"/>
      <c r="J205" s="25" t="n"/>
      <c r="K205" s="35" t="n"/>
      <c r="L205" s="25" t="n"/>
    </row>
    <row r="206">
      <c r="A206" s="25" t="n"/>
      <c r="B206" s="25" t="n"/>
      <c r="C206" s="25" t="n"/>
      <c r="D206" s="25" t="n"/>
      <c r="E206" s="25" t="n"/>
      <c r="F206" s="35" t="n"/>
      <c r="G206" s="25" t="n"/>
      <c r="H206" s="25" t="n"/>
      <c r="I206" s="25" t="n"/>
      <c r="J206" s="25" t="n"/>
      <c r="K206" s="35" t="n"/>
      <c r="L206" s="25" t="n"/>
    </row>
    <row r="207">
      <c r="A207" s="25" t="n"/>
      <c r="B207" s="25" t="n"/>
      <c r="C207" s="25" t="n"/>
      <c r="D207" s="25" t="n"/>
      <c r="E207" s="25" t="n"/>
      <c r="F207" s="35" t="n"/>
      <c r="G207" s="25" t="n"/>
      <c r="H207" s="25" t="n"/>
      <c r="I207" s="25" t="n"/>
      <c r="J207" s="25" t="n"/>
      <c r="K207" s="35" t="n"/>
      <c r="L207" s="25" t="n"/>
    </row>
    <row r="208">
      <c r="A208" s="25" t="n"/>
      <c r="B208" s="25" t="n"/>
      <c r="C208" s="25" t="n"/>
      <c r="D208" s="25" t="n"/>
      <c r="E208" s="25" t="n"/>
      <c r="F208" s="35" t="n"/>
      <c r="G208" s="25" t="n"/>
      <c r="H208" s="25" t="n"/>
      <c r="I208" s="25" t="n"/>
      <c r="J208" s="25" t="n"/>
      <c r="K208" s="35" t="n"/>
      <c r="L208" s="25" t="n"/>
    </row>
    <row r="209">
      <c r="A209" s="25" t="n"/>
      <c r="B209" s="25" t="n"/>
      <c r="C209" s="25" t="n"/>
      <c r="D209" s="25" t="n"/>
      <c r="E209" s="25" t="n"/>
      <c r="F209" s="35" t="n"/>
      <c r="G209" s="25" t="n"/>
      <c r="H209" s="25" t="n"/>
      <c r="I209" s="25" t="n"/>
      <c r="J209" s="25" t="n"/>
      <c r="K209" s="35" t="n"/>
      <c r="L209" s="25" t="n"/>
    </row>
    <row r="210">
      <c r="A210" s="25" t="n"/>
      <c r="B210" s="25" t="n"/>
      <c r="C210" s="25" t="n"/>
      <c r="D210" s="25" t="n"/>
      <c r="E210" s="25" t="n"/>
      <c r="F210" s="35" t="n"/>
      <c r="G210" s="25" t="n"/>
      <c r="H210" s="25" t="n"/>
      <c r="I210" s="25" t="n"/>
      <c r="J210" s="25" t="n"/>
      <c r="K210" s="35" t="n"/>
      <c r="L210" s="25" t="n"/>
    </row>
    <row r="211">
      <c r="A211" s="25" t="n"/>
      <c r="B211" s="25" t="n"/>
      <c r="C211" s="25" t="n"/>
      <c r="D211" s="25" t="n"/>
      <c r="E211" s="25" t="n"/>
      <c r="F211" s="35" t="n"/>
      <c r="G211" s="25" t="n"/>
      <c r="H211" s="25" t="n"/>
      <c r="I211" s="25" t="n"/>
      <c r="J211" s="25" t="n"/>
      <c r="K211" s="35" t="n"/>
      <c r="L211" s="25" t="n"/>
    </row>
    <row r="212">
      <c r="A212" s="25" t="n"/>
      <c r="B212" s="25" t="n"/>
      <c r="C212" s="25" t="n"/>
      <c r="D212" s="25" t="n"/>
      <c r="E212" s="25" t="n"/>
      <c r="F212" s="35" t="n"/>
      <c r="G212" s="25" t="n"/>
      <c r="H212" s="25" t="n"/>
      <c r="I212" s="25" t="n"/>
      <c r="J212" s="25" t="n"/>
      <c r="K212" s="35" t="n"/>
      <c r="L212" s="25" t="n"/>
    </row>
    <row r="213">
      <c r="A213" s="25" t="n"/>
      <c r="B213" s="25" t="n"/>
      <c r="C213" s="25" t="n"/>
      <c r="D213" s="25" t="n"/>
      <c r="E213" s="25" t="n"/>
      <c r="F213" s="35" t="n"/>
      <c r="G213" s="25" t="n"/>
      <c r="H213" s="25" t="n"/>
      <c r="I213" s="25" t="n"/>
      <c r="J213" s="25" t="n"/>
      <c r="K213" s="35" t="n"/>
      <c r="L213" s="25" t="n"/>
    </row>
    <row r="214">
      <c r="A214" s="25" t="n"/>
      <c r="B214" s="25" t="n"/>
      <c r="C214" s="25" t="n"/>
      <c r="D214" s="25" t="n"/>
      <c r="E214" s="25" t="n"/>
      <c r="F214" s="35" t="n"/>
      <c r="G214" s="25" t="n"/>
      <c r="H214" s="25" t="n"/>
      <c r="I214" s="25" t="n"/>
      <c r="J214" s="25" t="n"/>
      <c r="K214" s="35" t="n"/>
      <c r="L214" s="25" t="n"/>
    </row>
    <row r="215">
      <c r="A215" s="25" t="n"/>
      <c r="B215" s="25" t="n"/>
      <c r="C215" s="25" t="n"/>
      <c r="D215" s="25" t="n"/>
      <c r="E215" s="25" t="n"/>
      <c r="F215" s="35" t="n"/>
      <c r="G215" s="25" t="n"/>
      <c r="H215" s="25" t="n"/>
      <c r="I215" s="25" t="n"/>
      <c r="J215" s="25" t="n"/>
      <c r="K215" s="35" t="n"/>
      <c r="L215" s="25" t="n"/>
    </row>
    <row r="216">
      <c r="A216" s="25" t="n"/>
      <c r="B216" s="25" t="n"/>
      <c r="C216" s="25" t="n"/>
      <c r="D216" s="25" t="n"/>
      <c r="E216" s="25" t="n"/>
      <c r="F216" s="35" t="n"/>
      <c r="G216" s="25" t="n"/>
      <c r="H216" s="25" t="n"/>
      <c r="I216" s="25" t="n"/>
      <c r="J216" s="25" t="n"/>
      <c r="K216" s="35" t="n"/>
      <c r="L216" s="25" t="n"/>
    </row>
    <row r="217">
      <c r="A217" s="25" t="n"/>
      <c r="B217" s="25" t="n"/>
      <c r="C217" s="25" t="n"/>
      <c r="D217" s="25" t="n"/>
      <c r="E217" s="25" t="n"/>
      <c r="F217" s="35" t="n"/>
      <c r="G217" s="25" t="n"/>
      <c r="H217" s="25" t="n"/>
      <c r="I217" s="25" t="n"/>
      <c r="J217" s="25" t="n"/>
      <c r="K217" s="35" t="n"/>
      <c r="L217" s="25" t="n"/>
    </row>
    <row r="218">
      <c r="A218" s="25" t="n"/>
      <c r="B218" s="25" t="n"/>
      <c r="C218" s="25" t="n"/>
      <c r="D218" s="25" t="n"/>
      <c r="E218" s="25" t="n"/>
      <c r="F218" s="35" t="n"/>
      <c r="G218" s="25" t="n"/>
      <c r="H218" s="25" t="n"/>
      <c r="I218" s="25" t="n"/>
      <c r="J218" s="25" t="n"/>
      <c r="K218" s="35" t="n"/>
      <c r="L218" s="25" t="n"/>
    </row>
    <row r="219">
      <c r="A219" s="25" t="n"/>
      <c r="B219" s="25" t="n"/>
      <c r="C219" s="25" t="n"/>
      <c r="D219" s="25" t="n"/>
      <c r="E219" s="25" t="n"/>
      <c r="F219" s="35" t="n"/>
      <c r="G219" s="25" t="n"/>
      <c r="H219" s="25" t="n"/>
      <c r="I219" s="25" t="n"/>
      <c r="J219" s="25" t="n"/>
      <c r="K219" s="35" t="n"/>
      <c r="L219" s="25" t="n"/>
    </row>
    <row r="220">
      <c r="A220" s="25" t="n"/>
      <c r="B220" s="25" t="n"/>
      <c r="C220" s="25" t="n"/>
      <c r="D220" s="25" t="n"/>
      <c r="E220" s="25" t="n"/>
      <c r="F220" s="35" t="n"/>
      <c r="G220" s="25" t="n"/>
      <c r="H220" s="25" t="n"/>
      <c r="I220" s="25" t="n"/>
      <c r="J220" s="25" t="n"/>
      <c r="K220" s="35" t="n"/>
      <c r="L220" s="25" t="n"/>
    </row>
    <row r="221">
      <c r="A221" s="25" t="n"/>
      <c r="B221" s="25" t="n"/>
      <c r="C221" s="25" t="n"/>
      <c r="D221" s="25" t="n"/>
      <c r="E221" s="25" t="n"/>
      <c r="F221" s="35" t="n"/>
      <c r="G221" s="25" t="n"/>
      <c r="H221" s="25" t="n"/>
      <c r="I221" s="25" t="n"/>
      <c r="J221" s="25" t="n"/>
      <c r="K221" s="35" t="n"/>
      <c r="L221" s="25" t="n"/>
    </row>
    <row r="222">
      <c r="A222" s="25" t="n"/>
      <c r="B222" s="25" t="n"/>
      <c r="C222" s="25" t="n"/>
      <c r="D222" s="25" t="n"/>
      <c r="E222" s="25" t="n"/>
      <c r="F222" s="35" t="n"/>
      <c r="G222" s="25" t="n"/>
      <c r="H222" s="25" t="n"/>
      <c r="I222" s="25" t="n"/>
      <c r="J222" s="25" t="n"/>
      <c r="K222" s="35" t="n"/>
      <c r="L222" s="25" t="n"/>
    </row>
    <row r="223">
      <c r="A223" s="25" t="n"/>
      <c r="B223" s="25" t="n"/>
      <c r="C223" s="25" t="n"/>
      <c r="D223" s="25" t="n"/>
      <c r="E223" s="25" t="n"/>
      <c r="F223" s="35" t="n"/>
      <c r="G223" s="25" t="n"/>
      <c r="H223" s="25" t="n"/>
      <c r="I223" s="25" t="n"/>
      <c r="J223" s="25" t="n"/>
      <c r="K223" s="35" t="n"/>
      <c r="L223" s="25" t="n"/>
    </row>
    <row r="224">
      <c r="A224" s="25" t="n"/>
      <c r="B224" s="25" t="n"/>
      <c r="C224" s="25" t="n"/>
      <c r="D224" s="25" t="n"/>
      <c r="E224" s="25" t="n"/>
      <c r="F224" s="35" t="n"/>
      <c r="G224" s="25" t="n"/>
      <c r="H224" s="25" t="n"/>
      <c r="I224" s="25" t="n"/>
      <c r="J224" s="25" t="n"/>
      <c r="K224" s="35" t="n"/>
      <c r="L224" s="25" t="n"/>
    </row>
    <row r="225">
      <c r="A225" s="25" t="n"/>
      <c r="B225" s="25" t="n"/>
      <c r="C225" s="25" t="n"/>
      <c r="D225" s="25" t="n"/>
      <c r="E225" s="25" t="n"/>
      <c r="F225" s="35" t="n"/>
      <c r="G225" s="25" t="n"/>
      <c r="H225" s="25" t="n"/>
      <c r="I225" s="25" t="n"/>
      <c r="J225" s="25" t="n"/>
      <c r="K225" s="35" t="n"/>
      <c r="L225" s="25" t="n"/>
    </row>
    <row r="226">
      <c r="A226" s="25" t="n"/>
      <c r="B226" s="25" t="n"/>
      <c r="C226" s="25" t="n"/>
      <c r="D226" s="25" t="n"/>
      <c r="E226" s="25" t="n"/>
      <c r="F226" s="35" t="n"/>
      <c r="G226" s="25" t="n"/>
      <c r="H226" s="25" t="n"/>
      <c r="I226" s="25" t="n"/>
      <c r="J226" s="25" t="n"/>
      <c r="K226" s="35" t="n"/>
      <c r="L226" s="25" t="n"/>
    </row>
    <row r="227">
      <c r="A227" s="25" t="n"/>
      <c r="B227" s="25" t="n"/>
      <c r="C227" s="25" t="n"/>
      <c r="D227" s="25" t="n"/>
      <c r="E227" s="25" t="n"/>
      <c r="F227" s="35" t="n"/>
      <c r="G227" s="25" t="n"/>
      <c r="H227" s="25" t="n"/>
      <c r="I227" s="25" t="n"/>
      <c r="J227" s="25" t="n"/>
      <c r="K227" s="35" t="n"/>
      <c r="L227" s="25" t="n"/>
    </row>
    <row r="228">
      <c r="A228" s="25" t="n"/>
      <c r="B228" s="25" t="n"/>
      <c r="C228" s="25" t="n"/>
      <c r="D228" s="25" t="n"/>
      <c r="E228" s="25" t="n"/>
      <c r="F228" s="35" t="n"/>
      <c r="G228" s="25" t="n"/>
      <c r="H228" s="25" t="n"/>
      <c r="I228" s="25" t="n"/>
      <c r="J228" s="25" t="n"/>
      <c r="K228" s="35" t="n"/>
      <c r="L228" s="25" t="n"/>
    </row>
    <row r="229">
      <c r="A229" s="25" t="n"/>
      <c r="B229" s="25" t="n"/>
      <c r="C229" s="25" t="n"/>
      <c r="D229" s="25" t="n"/>
      <c r="E229" s="25" t="n"/>
      <c r="F229" s="35" t="n"/>
      <c r="G229" s="25" t="n"/>
      <c r="H229" s="25" t="n"/>
      <c r="I229" s="25" t="n"/>
      <c r="J229" s="25" t="n"/>
      <c r="K229" s="35" t="n"/>
      <c r="L229" s="25" t="n"/>
    </row>
    <row r="230">
      <c r="A230" s="25" t="n"/>
      <c r="B230" s="25" t="n"/>
      <c r="C230" s="25" t="n"/>
      <c r="D230" s="25" t="n"/>
      <c r="E230" s="25" t="n"/>
      <c r="F230" s="35" t="n"/>
      <c r="G230" s="25" t="n"/>
      <c r="H230" s="25" t="n"/>
      <c r="I230" s="25" t="n"/>
      <c r="J230" s="25" t="n"/>
      <c r="K230" s="35" t="n"/>
      <c r="L230" s="25" t="n"/>
    </row>
    <row r="231">
      <c r="A231" s="25" t="n"/>
      <c r="B231" s="25" t="n"/>
      <c r="C231" s="25" t="n"/>
      <c r="D231" s="25" t="n"/>
      <c r="E231" s="25" t="n"/>
      <c r="F231" s="35" t="n"/>
      <c r="G231" s="25" t="n"/>
      <c r="H231" s="25" t="n"/>
      <c r="I231" s="25" t="n"/>
      <c r="J231" s="25" t="n"/>
      <c r="K231" s="35" t="n"/>
      <c r="L231" s="25" t="n"/>
    </row>
    <row r="232">
      <c r="A232" s="25" t="n"/>
      <c r="B232" s="25" t="n"/>
      <c r="C232" s="25" t="n"/>
      <c r="D232" s="25" t="n"/>
      <c r="E232" s="25" t="n"/>
      <c r="F232" s="35" t="n"/>
      <c r="G232" s="25" t="n"/>
      <c r="H232" s="25" t="n"/>
      <c r="I232" s="25" t="n"/>
      <c r="J232" s="25" t="n"/>
      <c r="K232" s="35" t="n"/>
      <c r="L232" s="25" t="n"/>
    </row>
    <row r="233">
      <c r="A233" s="25" t="n"/>
      <c r="B233" s="25" t="n"/>
      <c r="C233" s="25" t="n"/>
      <c r="D233" s="25" t="n"/>
      <c r="E233" s="25" t="n"/>
      <c r="F233" s="35" t="n"/>
      <c r="G233" s="25" t="n"/>
      <c r="H233" s="25" t="n"/>
      <c r="I233" s="25" t="n"/>
      <c r="J233" s="25" t="n"/>
      <c r="K233" s="35" t="n"/>
      <c r="L233" s="25" t="n"/>
    </row>
    <row r="234">
      <c r="A234" s="25" t="n"/>
      <c r="B234" s="25" t="n"/>
      <c r="C234" s="25" t="n"/>
      <c r="D234" s="25" t="n"/>
      <c r="E234" s="25" t="n"/>
      <c r="F234" s="35" t="n"/>
      <c r="G234" s="25" t="n"/>
      <c r="H234" s="25" t="n"/>
      <c r="I234" s="25" t="n"/>
      <c r="J234" s="25" t="n"/>
      <c r="K234" s="35" t="n"/>
      <c r="L234" s="25" t="n"/>
    </row>
    <row r="235">
      <c r="A235" s="25" t="n"/>
      <c r="B235" s="25" t="n"/>
      <c r="C235" s="25" t="n"/>
      <c r="D235" s="25" t="n"/>
      <c r="E235" s="25" t="n"/>
      <c r="F235" s="35" t="n"/>
      <c r="G235" s="25" t="n"/>
      <c r="H235" s="25" t="n"/>
      <c r="I235" s="25" t="n"/>
      <c r="J235" s="25" t="n"/>
      <c r="K235" s="35" t="n"/>
      <c r="L235" s="25" t="n"/>
    </row>
    <row r="236">
      <c r="A236" s="25" t="n"/>
      <c r="B236" s="25" t="n"/>
      <c r="C236" s="25" t="n"/>
      <c r="D236" s="25" t="n"/>
      <c r="E236" s="25" t="n"/>
      <c r="F236" s="35" t="n"/>
      <c r="G236" s="25" t="n"/>
      <c r="H236" s="25" t="n"/>
      <c r="I236" s="25" t="n"/>
      <c r="J236" s="25" t="n"/>
      <c r="K236" s="35" t="n"/>
      <c r="L236" s="25" t="n"/>
    </row>
    <row r="237">
      <c r="A237" s="25" t="n"/>
      <c r="B237" s="25" t="n"/>
      <c r="C237" s="25" t="n"/>
      <c r="D237" s="25" t="n"/>
      <c r="E237" s="25" t="n"/>
      <c r="F237" s="35" t="n"/>
      <c r="G237" s="25" t="n"/>
      <c r="H237" s="25" t="n"/>
      <c r="I237" s="25" t="n"/>
      <c r="J237" s="25" t="n"/>
      <c r="K237" s="35" t="n"/>
      <c r="L237" s="25" t="n"/>
    </row>
    <row r="238">
      <c r="A238" s="25" t="n"/>
      <c r="B238" s="25" t="n"/>
      <c r="C238" s="25" t="n"/>
      <c r="D238" s="25" t="n"/>
      <c r="E238" s="25" t="n"/>
      <c r="F238" s="35" t="n"/>
      <c r="G238" s="25" t="n"/>
      <c r="H238" s="25" t="n"/>
      <c r="I238" s="25" t="n"/>
      <c r="J238" s="25" t="n"/>
      <c r="K238" s="35" t="n"/>
      <c r="L238" s="25" t="n"/>
    </row>
    <row r="239">
      <c r="A239" s="25" t="n"/>
      <c r="B239" s="25" t="n"/>
      <c r="C239" s="25" t="n"/>
      <c r="D239" s="25" t="n"/>
      <c r="E239" s="25" t="n"/>
      <c r="F239" s="35" t="n"/>
      <c r="G239" s="25" t="n"/>
      <c r="H239" s="25" t="n"/>
      <c r="I239" s="25" t="n"/>
      <c r="J239" s="25" t="n"/>
      <c r="K239" s="35" t="n"/>
      <c r="L239" s="25" t="n"/>
    </row>
    <row r="240">
      <c r="A240" s="25" t="n"/>
      <c r="B240" s="25" t="n"/>
      <c r="C240" s="25" t="n"/>
      <c r="D240" s="25" t="n"/>
      <c r="E240" s="25" t="n"/>
      <c r="F240" s="35" t="n"/>
      <c r="G240" s="25" t="n"/>
      <c r="H240" s="25" t="n"/>
      <c r="I240" s="25" t="n"/>
      <c r="J240" s="25" t="n"/>
      <c r="K240" s="35" t="n"/>
      <c r="L240" s="25" t="n"/>
    </row>
    <row r="241">
      <c r="A241" s="25" t="n"/>
      <c r="B241" s="25" t="n"/>
      <c r="C241" s="25" t="n"/>
      <c r="D241" s="25" t="n"/>
      <c r="E241" s="25" t="n"/>
      <c r="F241" s="35" t="n"/>
      <c r="G241" s="25" t="n"/>
      <c r="H241" s="25" t="n"/>
      <c r="I241" s="25" t="n"/>
      <c r="J241" s="25" t="n"/>
      <c r="K241" s="35" t="n"/>
      <c r="L241" s="25" t="n"/>
    </row>
    <row r="242">
      <c r="A242" s="25" t="n"/>
      <c r="B242" s="25" t="n"/>
      <c r="C242" s="25" t="n"/>
      <c r="D242" s="25" t="n"/>
      <c r="E242" s="25" t="n"/>
      <c r="F242" s="35" t="n"/>
      <c r="G242" s="25" t="n"/>
      <c r="H242" s="25" t="n"/>
      <c r="I242" s="25" t="n"/>
      <c r="J242" s="25" t="n"/>
      <c r="K242" s="35" t="n"/>
      <c r="L242" s="25" t="n"/>
    </row>
    <row r="243">
      <c r="A243" s="25" t="n"/>
      <c r="B243" s="25" t="n"/>
      <c r="C243" s="25" t="n"/>
      <c r="D243" s="25" t="n"/>
      <c r="E243" s="25" t="n"/>
      <c r="F243" s="35" t="n"/>
      <c r="G243" s="25" t="n"/>
      <c r="H243" s="25" t="n"/>
      <c r="I243" s="25" t="n"/>
      <c r="J243" s="25" t="n"/>
      <c r="K243" s="35" t="n"/>
      <c r="L243" s="25" t="n"/>
    </row>
    <row r="244">
      <c r="A244" s="25" t="n"/>
      <c r="B244" s="25" t="n"/>
      <c r="C244" s="25" t="n"/>
      <c r="D244" s="25" t="n"/>
      <c r="E244" s="25" t="n"/>
      <c r="F244" s="35" t="n"/>
      <c r="G244" s="25" t="n"/>
      <c r="H244" s="25" t="n"/>
      <c r="I244" s="25" t="n"/>
      <c r="J244" s="25" t="n"/>
      <c r="K244" s="35" t="n"/>
      <c r="L244" s="25" t="n"/>
    </row>
    <row r="245">
      <c r="A245" s="25" t="n"/>
      <c r="B245" s="25" t="n"/>
      <c r="C245" s="25" t="n"/>
      <c r="D245" s="25" t="n"/>
      <c r="E245" s="25" t="n"/>
      <c r="F245" s="35" t="n"/>
      <c r="G245" s="25" t="n"/>
      <c r="H245" s="25" t="n"/>
      <c r="I245" s="25" t="n"/>
      <c r="J245" s="25" t="n"/>
      <c r="K245" s="35" t="n"/>
      <c r="L245" s="25" t="n"/>
    </row>
    <row r="246">
      <c r="A246" s="25" t="n"/>
      <c r="B246" s="25" t="n"/>
      <c r="C246" s="25" t="n"/>
      <c r="D246" s="25" t="n"/>
      <c r="E246" s="25" t="n"/>
      <c r="F246" s="35" t="n"/>
      <c r="G246" s="25" t="n"/>
      <c r="H246" s="25" t="n"/>
      <c r="I246" s="25" t="n"/>
      <c r="J246" s="25" t="n"/>
      <c r="K246" s="35" t="n"/>
      <c r="L246" s="25" t="n"/>
    </row>
    <row r="247">
      <c r="A247" s="25" t="n"/>
      <c r="B247" s="25" t="n"/>
      <c r="C247" s="25" t="n"/>
      <c r="D247" s="25" t="n"/>
      <c r="E247" s="25" t="n"/>
      <c r="F247" s="35" t="n"/>
      <c r="G247" s="25" t="n"/>
      <c r="H247" s="25" t="n"/>
      <c r="I247" s="25" t="n"/>
      <c r="J247" s="25" t="n"/>
      <c r="K247" s="35" t="n"/>
      <c r="L247" s="25" t="n"/>
    </row>
    <row r="248">
      <c r="A248" s="25" t="n"/>
      <c r="B248" s="25" t="n"/>
      <c r="C248" s="25" t="n"/>
      <c r="D248" s="25" t="n"/>
      <c r="E248" s="25" t="n"/>
      <c r="F248" s="35" t="n"/>
      <c r="G248" s="25" t="n"/>
      <c r="H248" s="25" t="n"/>
      <c r="I248" s="25" t="n"/>
      <c r="J248" s="25" t="n"/>
      <c r="K248" s="35" t="n"/>
      <c r="L248" s="25" t="n"/>
    </row>
    <row r="249">
      <c r="A249" s="25" t="n"/>
      <c r="B249" s="25" t="n"/>
      <c r="C249" s="25" t="n"/>
      <c r="D249" s="25" t="n"/>
      <c r="E249" s="25" t="n"/>
      <c r="F249" s="35" t="n"/>
      <c r="G249" s="25" t="n"/>
      <c r="H249" s="25" t="n"/>
      <c r="I249" s="25" t="n"/>
      <c r="J249" s="25" t="n"/>
      <c r="K249" s="35" t="n"/>
      <c r="L249" s="25" t="n"/>
    </row>
    <row r="250">
      <c r="A250" s="25" t="n"/>
      <c r="B250" s="25" t="n"/>
      <c r="C250" s="25" t="n"/>
      <c r="D250" s="25" t="n"/>
      <c r="E250" s="25" t="n"/>
      <c r="F250" s="35" t="n"/>
      <c r="G250" s="25" t="n"/>
      <c r="H250" s="25" t="n"/>
      <c r="I250" s="25" t="n"/>
      <c r="J250" s="25" t="n"/>
      <c r="K250" s="35" t="n"/>
      <c r="L250" s="25" t="n"/>
    </row>
    <row r="251">
      <c r="A251" s="25" t="n"/>
      <c r="B251" s="25" t="n"/>
      <c r="C251" s="25" t="n"/>
      <c r="D251" s="25" t="n"/>
      <c r="E251" s="25" t="n"/>
      <c r="F251" s="35" t="n"/>
      <c r="G251" s="25" t="n"/>
      <c r="H251" s="25" t="n"/>
      <c r="I251" s="25" t="n"/>
      <c r="J251" s="25" t="n"/>
      <c r="K251" s="35" t="n"/>
      <c r="L251" s="25" t="n"/>
    </row>
    <row r="252">
      <c r="A252" s="25" t="n"/>
      <c r="B252" s="25" t="n"/>
      <c r="C252" s="25" t="n"/>
      <c r="D252" s="25" t="n"/>
      <c r="E252" s="25" t="n"/>
      <c r="F252" s="35" t="n"/>
      <c r="G252" s="25" t="n"/>
      <c r="H252" s="25" t="n"/>
      <c r="I252" s="25" t="n"/>
      <c r="J252" s="25" t="n"/>
      <c r="K252" s="35" t="n"/>
      <c r="L252" s="25" t="n"/>
    </row>
    <row r="253">
      <c r="A253" s="25" t="n"/>
      <c r="B253" s="25" t="n"/>
      <c r="C253" s="25" t="n"/>
      <c r="D253" s="25" t="n"/>
      <c r="E253" s="25" t="n"/>
      <c r="F253" s="35" t="n"/>
      <c r="G253" s="25" t="n"/>
      <c r="H253" s="25" t="n"/>
      <c r="I253" s="25" t="n"/>
      <c r="J253" s="25" t="n"/>
      <c r="K253" s="35" t="n"/>
      <c r="L253" s="25" t="n"/>
    </row>
    <row r="254">
      <c r="A254" s="25" t="n"/>
      <c r="B254" s="25" t="n"/>
      <c r="C254" s="25" t="n"/>
      <c r="D254" s="25" t="n"/>
      <c r="E254" s="25" t="n"/>
      <c r="F254" s="35" t="n"/>
      <c r="G254" s="25" t="n"/>
      <c r="H254" s="25" t="n"/>
      <c r="I254" s="25" t="n"/>
      <c r="J254" s="25" t="n"/>
      <c r="K254" s="35" t="n"/>
      <c r="L254" s="25" t="n"/>
    </row>
    <row r="255">
      <c r="A255" s="25" t="n"/>
      <c r="B255" s="25" t="n"/>
      <c r="C255" s="25" t="n"/>
      <c r="D255" s="25" t="n"/>
      <c r="E255" s="25" t="n"/>
      <c r="F255" s="35" t="n"/>
      <c r="G255" s="25" t="n"/>
      <c r="H255" s="25" t="n"/>
      <c r="I255" s="25" t="n"/>
      <c r="J255" s="25" t="n"/>
      <c r="K255" s="35" t="n"/>
      <c r="L255" s="25" t="n"/>
    </row>
    <row r="256">
      <c r="A256" s="25" t="n"/>
      <c r="B256" s="25" t="n"/>
      <c r="C256" s="25" t="n"/>
      <c r="D256" s="25" t="n"/>
      <c r="E256" s="25" t="n"/>
      <c r="F256" s="35" t="n"/>
      <c r="G256" s="25" t="n"/>
      <c r="H256" s="25" t="n"/>
      <c r="I256" s="25" t="n"/>
      <c r="J256" s="25" t="n"/>
      <c r="K256" s="35" t="n"/>
      <c r="L256" s="25" t="n"/>
    </row>
    <row r="257">
      <c r="A257" s="25" t="n"/>
      <c r="B257" s="25" t="n"/>
      <c r="C257" s="25" t="n"/>
      <c r="D257" s="25" t="n"/>
      <c r="E257" s="25" t="n"/>
      <c r="F257" s="35" t="n"/>
      <c r="G257" s="25" t="n"/>
      <c r="H257" s="25" t="n"/>
      <c r="I257" s="25" t="n"/>
      <c r="J257" s="25" t="n"/>
      <c r="K257" s="35" t="n"/>
      <c r="L257" s="25" t="n"/>
    </row>
    <row r="258">
      <c r="A258" s="25" t="n"/>
      <c r="B258" s="25" t="n"/>
      <c r="C258" s="25" t="n"/>
      <c r="D258" s="25" t="n"/>
      <c r="E258" s="25" t="n"/>
      <c r="F258" s="35" t="n"/>
      <c r="G258" s="25" t="n"/>
      <c r="H258" s="25" t="n"/>
      <c r="I258" s="25" t="n"/>
      <c r="J258" s="25" t="n"/>
      <c r="K258" s="35" t="n"/>
      <c r="L258" s="25" t="n"/>
    </row>
    <row r="259">
      <c r="A259" s="25" t="n"/>
      <c r="B259" s="25" t="n"/>
      <c r="C259" s="25" t="n"/>
      <c r="D259" s="25" t="n"/>
      <c r="E259" s="25" t="n"/>
      <c r="F259" s="35" t="n"/>
      <c r="G259" s="25" t="n"/>
      <c r="H259" s="25" t="n"/>
      <c r="I259" s="25" t="n"/>
      <c r="J259" s="25" t="n"/>
      <c r="K259" s="35" t="n"/>
      <c r="L259" s="25" t="n"/>
    </row>
    <row r="260">
      <c r="A260" s="25" t="n"/>
      <c r="B260" s="25" t="n"/>
      <c r="C260" s="25" t="n"/>
      <c r="D260" s="25" t="n"/>
      <c r="E260" s="25" t="n"/>
      <c r="F260" s="35" t="n"/>
      <c r="G260" s="25" t="n"/>
      <c r="H260" s="25" t="n"/>
      <c r="I260" s="25" t="n"/>
      <c r="J260" s="25" t="n"/>
      <c r="K260" s="35" t="n"/>
      <c r="L260" s="25" t="n"/>
    </row>
    <row r="261">
      <c r="A261" s="25" t="n"/>
      <c r="B261" s="25" t="n"/>
      <c r="C261" s="25" t="n"/>
      <c r="D261" s="25" t="n"/>
      <c r="E261" s="25" t="n"/>
      <c r="F261" s="35" t="n"/>
      <c r="G261" s="25" t="n"/>
      <c r="H261" s="25" t="n"/>
      <c r="I261" s="25" t="n"/>
      <c r="J261" s="25" t="n"/>
      <c r="K261" s="35" t="n"/>
      <c r="L261" s="25" t="n"/>
    </row>
    <row r="262">
      <c r="A262" s="25" t="n"/>
      <c r="B262" s="25" t="n"/>
      <c r="C262" s="25" t="n"/>
      <c r="D262" s="25" t="n"/>
      <c r="E262" s="25" t="n"/>
      <c r="F262" s="35" t="n"/>
      <c r="G262" s="25" t="n"/>
      <c r="H262" s="25" t="n"/>
      <c r="I262" s="25" t="n"/>
      <c r="J262" s="25" t="n"/>
      <c r="K262" s="35" t="n"/>
      <c r="L262" s="25" t="n"/>
    </row>
    <row r="263">
      <c r="A263" s="25" t="n"/>
      <c r="B263" s="25" t="n"/>
      <c r="C263" s="25" t="n"/>
      <c r="D263" s="25" t="n"/>
      <c r="E263" s="25" t="n"/>
      <c r="F263" s="35" t="n"/>
      <c r="G263" s="25" t="n"/>
      <c r="H263" s="25" t="n"/>
      <c r="I263" s="25" t="n"/>
      <c r="J263" s="25" t="n"/>
      <c r="K263" s="35" t="n"/>
      <c r="L263" s="25" t="n"/>
    </row>
    <row r="264">
      <c r="A264" s="25" t="n"/>
      <c r="B264" s="25" t="n"/>
      <c r="C264" s="25" t="n"/>
      <c r="D264" s="25" t="n"/>
      <c r="E264" s="25" t="n"/>
      <c r="F264" s="35" t="n"/>
      <c r="G264" s="25" t="n"/>
      <c r="H264" s="25" t="n"/>
      <c r="I264" s="25" t="n"/>
      <c r="J264" s="25" t="n"/>
      <c r="K264" s="35" t="n"/>
      <c r="L264" s="25" t="n"/>
    </row>
    <row r="265">
      <c r="A265" s="25" t="n"/>
      <c r="B265" s="25" t="n"/>
      <c r="C265" s="25" t="n"/>
      <c r="D265" s="25" t="n"/>
      <c r="E265" s="25" t="n"/>
      <c r="F265" s="35" t="n"/>
      <c r="G265" s="25" t="n"/>
      <c r="H265" s="25" t="n"/>
      <c r="I265" s="25" t="n"/>
      <c r="J265" s="25" t="n"/>
      <c r="K265" s="35" t="n"/>
      <c r="L265" s="25" t="n"/>
    </row>
    <row r="266">
      <c r="A266" s="25" t="n"/>
      <c r="B266" s="25" t="n"/>
      <c r="C266" s="25" t="n"/>
      <c r="D266" s="25" t="n"/>
      <c r="E266" s="25" t="n"/>
      <c r="F266" s="35" t="n"/>
      <c r="G266" s="25" t="n"/>
      <c r="H266" s="25" t="n"/>
      <c r="I266" s="25" t="n"/>
      <c r="J266" s="25" t="n"/>
      <c r="K266" s="35" t="n"/>
      <c r="L266" s="25" t="n"/>
    </row>
    <row r="267">
      <c r="A267" s="25" t="n"/>
      <c r="B267" s="25" t="n"/>
      <c r="C267" s="25" t="n"/>
      <c r="D267" s="25" t="n"/>
      <c r="E267" s="25" t="n"/>
      <c r="F267" s="35" t="n"/>
      <c r="G267" s="25" t="n"/>
      <c r="H267" s="25" t="n"/>
      <c r="I267" s="25" t="n"/>
      <c r="J267" s="25" t="n"/>
      <c r="K267" s="35" t="n"/>
      <c r="L267" s="25" t="n"/>
    </row>
    <row r="268">
      <c r="A268" s="25" t="n"/>
      <c r="B268" s="25" t="n"/>
      <c r="C268" s="25" t="n"/>
      <c r="D268" s="25" t="n"/>
      <c r="E268" s="25" t="n"/>
      <c r="F268" s="35" t="n"/>
      <c r="G268" s="25" t="n"/>
      <c r="H268" s="25" t="n"/>
      <c r="I268" s="25" t="n"/>
      <c r="J268" s="25" t="n"/>
      <c r="K268" s="35" t="n"/>
      <c r="L268" s="25" t="n"/>
    </row>
    <row r="269">
      <c r="A269" s="25" t="n"/>
      <c r="B269" s="25" t="n"/>
      <c r="C269" s="25" t="n"/>
      <c r="D269" s="25" t="n"/>
      <c r="E269" s="25" t="n"/>
      <c r="F269" s="35" t="n"/>
      <c r="G269" s="25" t="n"/>
      <c r="H269" s="25" t="n"/>
      <c r="I269" s="25" t="n"/>
      <c r="J269" s="25" t="n"/>
      <c r="K269" s="35" t="n"/>
      <c r="L269" s="25" t="n"/>
    </row>
    <row r="270">
      <c r="A270" s="25" t="n"/>
      <c r="B270" s="25" t="n"/>
      <c r="C270" s="25" t="n"/>
      <c r="D270" s="25" t="n"/>
      <c r="E270" s="25" t="n"/>
      <c r="F270" s="35" t="n"/>
      <c r="G270" s="25" t="n"/>
      <c r="H270" s="25" t="n"/>
      <c r="I270" s="25" t="n"/>
      <c r="J270" s="25" t="n"/>
      <c r="K270" s="35" t="n"/>
      <c r="L270" s="25" t="n"/>
    </row>
    <row r="271">
      <c r="A271" s="25" t="n"/>
      <c r="B271" s="25" t="n"/>
      <c r="C271" s="25" t="n"/>
      <c r="D271" s="25" t="n"/>
      <c r="E271" s="25" t="n"/>
      <c r="F271" s="35" t="n"/>
      <c r="G271" s="25" t="n"/>
      <c r="H271" s="25" t="n"/>
      <c r="I271" s="25" t="n"/>
      <c r="J271" s="25" t="n"/>
      <c r="K271" s="35" t="n"/>
      <c r="L271" s="25" t="n"/>
    </row>
    <row r="272">
      <c r="A272" s="25" t="n"/>
      <c r="B272" s="25" t="n"/>
      <c r="C272" s="25" t="n"/>
      <c r="D272" s="25" t="n"/>
      <c r="E272" s="25" t="n"/>
      <c r="F272" s="35" t="n"/>
      <c r="G272" s="25" t="n"/>
      <c r="H272" s="25" t="n"/>
      <c r="I272" s="25" t="n"/>
      <c r="J272" s="25" t="n"/>
      <c r="K272" s="35" t="n"/>
      <c r="L272" s="25" t="n"/>
    </row>
    <row r="273">
      <c r="A273" s="25" t="n"/>
      <c r="B273" s="25" t="n"/>
      <c r="C273" s="25" t="n"/>
      <c r="D273" s="25" t="n"/>
      <c r="E273" s="25" t="n"/>
      <c r="F273" s="35" t="n"/>
      <c r="G273" s="25" t="n"/>
      <c r="H273" s="25" t="n"/>
      <c r="I273" s="25" t="n"/>
      <c r="J273" s="25" t="n"/>
      <c r="K273" s="35" t="n"/>
      <c r="L273" s="25" t="n"/>
    </row>
    <row r="274">
      <c r="A274" s="25" t="n"/>
      <c r="B274" s="25" t="n"/>
      <c r="C274" s="25" t="n"/>
      <c r="D274" s="25" t="n"/>
      <c r="E274" s="25" t="n"/>
      <c r="F274" s="35" t="n"/>
      <c r="G274" s="25" t="n"/>
      <c r="H274" s="25" t="n"/>
      <c r="I274" s="25" t="n"/>
      <c r="J274" s="25" t="n"/>
      <c r="K274" s="35" t="n"/>
      <c r="L274" s="25" t="n"/>
    </row>
    <row r="275">
      <c r="A275" s="25" t="n"/>
      <c r="B275" s="25" t="n"/>
      <c r="C275" s="25" t="n"/>
      <c r="D275" s="25" t="n"/>
      <c r="E275" s="25" t="n"/>
      <c r="F275" s="35" t="n"/>
      <c r="G275" s="25" t="n"/>
      <c r="H275" s="25" t="n"/>
      <c r="I275" s="25" t="n"/>
      <c r="J275" s="25" t="n"/>
      <c r="K275" s="35" t="n"/>
      <c r="L275" s="25" t="n"/>
    </row>
    <row r="276">
      <c r="A276" s="25" t="n"/>
      <c r="B276" s="25" t="n"/>
      <c r="C276" s="25" t="n"/>
      <c r="D276" s="25" t="n"/>
      <c r="E276" s="25" t="n"/>
      <c r="F276" s="35" t="n"/>
      <c r="G276" s="25" t="n"/>
      <c r="H276" s="25" t="n"/>
      <c r="I276" s="25" t="n"/>
      <c r="J276" s="25" t="n"/>
      <c r="K276" s="35" t="n"/>
      <c r="L276" s="25" t="n"/>
    </row>
    <row r="277">
      <c r="A277" s="25" t="n"/>
      <c r="B277" s="25" t="n"/>
      <c r="C277" s="25" t="n"/>
      <c r="D277" s="25" t="n"/>
      <c r="E277" s="25" t="n"/>
      <c r="F277" s="35" t="n"/>
      <c r="G277" s="25" t="n"/>
      <c r="H277" s="25" t="n"/>
      <c r="I277" s="25" t="n"/>
      <c r="J277" s="25" t="n"/>
      <c r="K277" s="35" t="n"/>
      <c r="L277" s="25" t="n"/>
    </row>
    <row r="278">
      <c r="A278" s="25" t="n"/>
      <c r="B278" s="25" t="n"/>
      <c r="C278" s="25" t="n"/>
      <c r="D278" s="25" t="n"/>
      <c r="E278" s="25" t="n"/>
      <c r="F278" s="35" t="n"/>
      <c r="G278" s="25" t="n"/>
      <c r="H278" s="25" t="n"/>
      <c r="I278" s="25" t="n"/>
      <c r="J278" s="25" t="n"/>
      <c r="K278" s="35" t="n"/>
      <c r="L278" s="25" t="n"/>
    </row>
    <row r="279">
      <c r="A279" s="25" t="n"/>
      <c r="B279" s="25" t="n"/>
      <c r="C279" s="25" t="n"/>
      <c r="D279" s="25" t="n"/>
      <c r="E279" s="25" t="n"/>
      <c r="F279" s="35" t="n"/>
      <c r="G279" s="25" t="n"/>
      <c r="H279" s="25" t="n"/>
      <c r="I279" s="25" t="n"/>
      <c r="J279" s="25" t="n"/>
      <c r="K279" s="35" t="n"/>
      <c r="L279" s="25" t="n"/>
    </row>
    <row r="280">
      <c r="A280" s="25" t="n"/>
      <c r="B280" s="25" t="n"/>
      <c r="C280" s="25" t="n"/>
      <c r="D280" s="25" t="n"/>
      <c r="E280" s="25" t="n"/>
      <c r="F280" s="35" t="n"/>
      <c r="G280" s="25" t="n"/>
      <c r="H280" s="25" t="n"/>
      <c r="I280" s="25" t="n"/>
      <c r="J280" s="25" t="n"/>
      <c r="K280" s="35" t="n"/>
      <c r="L280" s="25" t="n"/>
    </row>
    <row r="281">
      <c r="A281" s="25" t="n"/>
      <c r="B281" s="25" t="n"/>
      <c r="C281" s="25" t="n"/>
      <c r="D281" s="25" t="n"/>
      <c r="E281" s="25" t="n"/>
      <c r="F281" s="35" t="n"/>
      <c r="G281" s="25" t="n"/>
      <c r="H281" s="25" t="n"/>
      <c r="I281" s="25" t="n"/>
      <c r="J281" s="25" t="n"/>
      <c r="K281" s="35" t="n"/>
      <c r="L281" s="25" t="n"/>
    </row>
    <row r="282">
      <c r="A282" s="25" t="n"/>
      <c r="B282" s="25" t="n"/>
      <c r="C282" s="25" t="n"/>
      <c r="D282" s="25" t="n"/>
      <c r="E282" s="25" t="n"/>
      <c r="F282" s="35" t="n"/>
      <c r="G282" s="25" t="n"/>
      <c r="H282" s="25" t="n"/>
      <c r="I282" s="25" t="n"/>
      <c r="J282" s="25" t="n"/>
      <c r="K282" s="35" t="n"/>
      <c r="L282" s="25" t="n"/>
    </row>
    <row r="283">
      <c r="A283" s="25" t="n"/>
      <c r="B283" s="25" t="n"/>
      <c r="C283" s="25" t="n"/>
      <c r="D283" s="25" t="n"/>
      <c r="E283" s="25" t="n"/>
      <c r="F283" s="35" t="n"/>
      <c r="G283" s="25" t="n"/>
      <c r="H283" s="25" t="n"/>
      <c r="I283" s="25" t="n"/>
      <c r="J283" s="25" t="n"/>
      <c r="K283" s="35" t="n"/>
      <c r="L283" s="25" t="n"/>
    </row>
    <row r="284">
      <c r="A284" s="25" t="n"/>
      <c r="B284" s="25" t="n"/>
      <c r="C284" s="25" t="n"/>
      <c r="D284" s="25" t="n"/>
      <c r="E284" s="25" t="n"/>
      <c r="F284" s="35" t="n"/>
      <c r="G284" s="25" t="n"/>
      <c r="H284" s="25" t="n"/>
      <c r="I284" s="25" t="n"/>
      <c r="J284" s="25" t="n"/>
      <c r="K284" s="35" t="n"/>
      <c r="L284" s="25" t="n"/>
    </row>
    <row r="285">
      <c r="A285" s="25" t="n"/>
      <c r="B285" s="25" t="n"/>
      <c r="C285" s="25" t="n"/>
      <c r="D285" s="25" t="n"/>
      <c r="E285" s="25" t="n"/>
      <c r="F285" s="35" t="n"/>
      <c r="G285" s="25" t="n"/>
      <c r="H285" s="25" t="n"/>
      <c r="I285" s="25" t="n"/>
      <c r="J285" s="25" t="n"/>
      <c r="K285" s="35" t="n"/>
      <c r="L285" s="25" t="n"/>
    </row>
    <row r="286">
      <c r="A286" s="25" t="n"/>
      <c r="B286" s="25" t="n"/>
      <c r="C286" s="25" t="n"/>
      <c r="D286" s="25" t="n"/>
      <c r="E286" s="25" t="n"/>
      <c r="F286" s="35" t="n"/>
      <c r="G286" s="25" t="n"/>
      <c r="H286" s="25" t="n"/>
      <c r="I286" s="25" t="n"/>
      <c r="J286" s="25" t="n"/>
      <c r="K286" s="35" t="n"/>
      <c r="L286" s="25" t="n"/>
    </row>
    <row r="287">
      <c r="A287" s="25" t="n"/>
      <c r="B287" s="25" t="n"/>
      <c r="C287" s="25" t="n"/>
      <c r="D287" s="25" t="n"/>
      <c r="E287" s="25" t="n"/>
      <c r="F287" s="35" t="n"/>
      <c r="G287" s="25" t="n"/>
      <c r="H287" s="25" t="n"/>
      <c r="I287" s="25" t="n"/>
      <c r="J287" s="25" t="n"/>
      <c r="K287" s="35" t="n"/>
      <c r="L287" s="25" t="n"/>
    </row>
    <row r="288">
      <c r="A288" s="25" t="n"/>
      <c r="B288" s="25" t="n"/>
      <c r="C288" s="25" t="n"/>
      <c r="D288" s="25" t="n"/>
      <c r="E288" s="25" t="n"/>
      <c r="F288" s="35" t="n"/>
      <c r="G288" s="25" t="n"/>
      <c r="H288" s="25" t="n"/>
      <c r="I288" s="25" t="n"/>
      <c r="J288" s="25" t="n"/>
      <c r="K288" s="35" t="n"/>
      <c r="L288" s="25" t="n"/>
    </row>
    <row r="289">
      <c r="A289" s="25" t="n"/>
      <c r="B289" s="25" t="n"/>
      <c r="C289" s="25" t="n"/>
      <c r="D289" s="25" t="n"/>
      <c r="E289" s="25" t="n"/>
      <c r="F289" s="35" t="n"/>
      <c r="G289" s="25" t="n"/>
      <c r="H289" s="25" t="n"/>
      <c r="I289" s="25" t="n"/>
      <c r="J289" s="25" t="n"/>
      <c r="K289" s="35" t="n"/>
      <c r="L289" s="25" t="n"/>
    </row>
    <row r="290">
      <c r="A290" s="25" t="n"/>
      <c r="B290" s="25" t="n"/>
      <c r="C290" s="25" t="n"/>
      <c r="D290" s="25" t="n"/>
      <c r="E290" s="25" t="n"/>
      <c r="F290" s="35" t="n"/>
      <c r="G290" s="25" t="n"/>
      <c r="H290" s="25" t="n"/>
      <c r="I290" s="25" t="n"/>
      <c r="J290" s="25" t="n"/>
      <c r="K290" s="35" t="n"/>
      <c r="L290" s="25" t="n"/>
    </row>
    <row r="291">
      <c r="A291" s="25" t="n"/>
      <c r="B291" s="25" t="n"/>
      <c r="C291" s="25" t="n"/>
      <c r="D291" s="25" t="n"/>
      <c r="E291" s="25" t="n"/>
      <c r="F291" s="35" t="n"/>
      <c r="G291" s="25" t="n"/>
      <c r="H291" s="25" t="n"/>
      <c r="I291" s="25" t="n"/>
      <c r="J291" s="25" t="n"/>
      <c r="K291" s="35" t="n"/>
      <c r="L291" s="25" t="n"/>
    </row>
    <row r="292">
      <c r="A292" s="25" t="n"/>
      <c r="B292" s="25" t="n"/>
      <c r="C292" s="25" t="n"/>
      <c r="D292" s="25" t="n"/>
      <c r="E292" s="25" t="n"/>
      <c r="F292" s="35" t="n"/>
      <c r="G292" s="25" t="n"/>
      <c r="H292" s="25" t="n"/>
      <c r="I292" s="25" t="n"/>
      <c r="J292" s="25" t="n"/>
      <c r="K292" s="35" t="n"/>
      <c r="L292" s="25" t="n"/>
    </row>
    <row r="293">
      <c r="A293" s="25" t="n"/>
      <c r="B293" s="25" t="n"/>
      <c r="C293" s="25" t="n"/>
      <c r="D293" s="25" t="n"/>
      <c r="E293" s="25" t="n"/>
      <c r="F293" s="35" t="n"/>
      <c r="G293" s="25" t="n"/>
      <c r="H293" s="25" t="n"/>
      <c r="I293" s="25" t="n"/>
      <c r="J293" s="25" t="n"/>
      <c r="K293" s="35" t="n"/>
      <c r="L293" s="25" t="n"/>
    </row>
    <row r="294">
      <c r="A294" s="25" t="n"/>
      <c r="B294" s="25" t="n"/>
      <c r="C294" s="25" t="n"/>
      <c r="D294" s="25" t="n"/>
      <c r="E294" s="25" t="n"/>
      <c r="F294" s="35" t="n"/>
      <c r="G294" s="25" t="n"/>
      <c r="H294" s="25" t="n"/>
      <c r="I294" s="25" t="n"/>
      <c r="J294" s="25" t="n"/>
      <c r="K294" s="35" t="n"/>
      <c r="L294" s="25" t="n"/>
    </row>
    <row r="295">
      <c r="A295" s="25" t="n"/>
      <c r="B295" s="25" t="n"/>
      <c r="C295" s="25" t="n"/>
      <c r="D295" s="25" t="n"/>
      <c r="E295" s="25" t="n"/>
      <c r="F295" s="35" t="n"/>
      <c r="G295" s="25" t="n"/>
      <c r="H295" s="25" t="n"/>
      <c r="I295" s="25" t="n"/>
      <c r="J295" s="25" t="n"/>
      <c r="K295" s="35" t="n"/>
      <c r="L295" s="25" t="n"/>
    </row>
    <row r="296">
      <c r="A296" s="25" t="n"/>
      <c r="B296" s="25" t="n"/>
      <c r="C296" s="25" t="n"/>
      <c r="D296" s="25" t="n"/>
      <c r="E296" s="25" t="n"/>
      <c r="F296" s="35" t="n"/>
      <c r="G296" s="25" t="n"/>
      <c r="H296" s="25" t="n"/>
      <c r="I296" s="25" t="n"/>
      <c r="J296" s="25" t="n"/>
      <c r="K296" s="35" t="n"/>
      <c r="L296" s="25" t="n"/>
    </row>
    <row r="297">
      <c r="A297" s="25" t="n"/>
      <c r="B297" s="25" t="n"/>
      <c r="C297" s="25" t="n"/>
      <c r="D297" s="25" t="n"/>
      <c r="E297" s="25" t="n"/>
      <c r="F297" s="35" t="n"/>
      <c r="G297" s="25" t="n"/>
      <c r="H297" s="25" t="n"/>
      <c r="I297" s="25" t="n"/>
      <c r="J297" s="25" t="n"/>
      <c r="K297" s="35" t="n"/>
      <c r="L297" s="25" t="n"/>
    </row>
    <row r="298">
      <c r="A298" s="25" t="n"/>
      <c r="B298" s="25" t="n"/>
      <c r="C298" s="25" t="n"/>
      <c r="D298" s="25" t="n"/>
      <c r="E298" s="25" t="n"/>
      <c r="F298" s="35" t="n"/>
      <c r="G298" s="25" t="n"/>
      <c r="H298" s="25" t="n"/>
      <c r="I298" s="25" t="n"/>
      <c r="J298" s="25" t="n"/>
      <c r="K298" s="35" t="n"/>
      <c r="L298" s="25" t="n"/>
    </row>
    <row r="299">
      <c r="A299" s="25" t="n"/>
      <c r="B299" s="25" t="n"/>
      <c r="C299" s="25" t="n"/>
      <c r="D299" s="25" t="n"/>
      <c r="E299" s="25" t="n"/>
      <c r="F299" s="35" t="n"/>
      <c r="G299" s="25" t="n"/>
      <c r="H299" s="25" t="n"/>
      <c r="I299" s="25" t="n"/>
      <c r="J299" s="25" t="n"/>
      <c r="K299" s="35" t="n"/>
      <c r="L299" s="25" t="n"/>
    </row>
    <row r="300">
      <c r="A300" s="25" t="n"/>
      <c r="B300" s="25" t="n"/>
      <c r="C300" s="25" t="n"/>
      <c r="D300" s="25" t="n"/>
      <c r="E300" s="25" t="n"/>
      <c r="F300" s="35" t="n"/>
      <c r="G300" s="25" t="n"/>
      <c r="H300" s="25" t="n"/>
      <c r="I300" s="25" t="n"/>
      <c r="J300" s="25" t="n"/>
      <c r="K300" s="35" t="n"/>
      <c r="L300" s="25" t="n"/>
    </row>
    <row r="301">
      <c r="A301" s="25" t="n"/>
      <c r="B301" s="25" t="n"/>
      <c r="C301" s="25" t="n"/>
      <c r="D301" s="25" t="n"/>
      <c r="E301" s="25" t="n"/>
      <c r="F301" s="35" t="n"/>
      <c r="G301" s="25" t="n"/>
      <c r="H301" s="25" t="n"/>
      <c r="I301" s="25" t="n"/>
      <c r="J301" s="25" t="n"/>
      <c r="K301" s="35" t="n"/>
      <c r="L301" s="25" t="n"/>
    </row>
    <row r="302">
      <c r="A302" s="25" t="n"/>
      <c r="B302" s="25" t="n"/>
      <c r="C302" s="25" t="n"/>
      <c r="D302" s="25" t="n"/>
      <c r="E302" s="25" t="n"/>
      <c r="F302" s="35" t="n"/>
      <c r="G302" s="25" t="n"/>
      <c r="H302" s="25" t="n"/>
      <c r="I302" s="25" t="n"/>
      <c r="J302" s="25" t="n"/>
      <c r="K302" s="35" t="n"/>
      <c r="L302" s="25" t="n"/>
    </row>
  </sheetData>
  <autoFilter ref="A2:L302"/>
  <mergeCells count="1">
    <mergeCell ref="A1:L1"/>
  </mergeCells>
  <conditionalFormatting sqref="A3:L302">
    <cfRule type="expression" priority="1" dxfId="0" stopIfTrue="1">
      <formula>$J3="Đã đăng ký"</formula>
    </cfRule>
    <cfRule type="expression" priority="2" dxfId="1" stopIfTrue="1">
      <formula>$J3="Không đăng ký"</formula>
    </cfRule>
    <cfRule type="expression" priority="3" dxfId="2" stopIfTrue="1">
      <formula>$J3="Đang cân nhắc"</formula>
    </cfRule>
    <cfRule type="expression" priority="4" dxfId="3" stopIfTrue="0">
      <formula>ISEVEN(ROW())</formula>
    </cfRule>
  </conditionalFormatting>
  <dataValidations count="5">
    <dataValidation sqref="D3:D302" showDropDown="0" showInputMessage="0" showErrorMessage="0" allowBlank="1" type="list">
      <formula1>=DANHMUC!$E$2:$E$8</formula1>
    </dataValidation>
    <dataValidation sqref="G3:G302" showDropDown="0" showInputMessage="0" showErrorMessage="0" allowBlank="1" type="list">
      <formula1>=DANHMUC!$C$2:$C$10</formula1>
    </dataValidation>
    <dataValidation sqref="H3:H302" showDropDown="0" showInputMessage="0" showErrorMessage="0" allowBlank="1" type="list">
      <formula1>=DANHMUC!$D$2:$D$10</formula1>
    </dataValidation>
    <dataValidation sqref="I3:I302" showDropDown="0" showInputMessage="0" showErrorMessage="0" allowBlank="1" type="list">
      <formula1>=DANHMUC!$J$2:$J$6</formula1>
    </dataValidation>
    <dataValidation sqref="J3:J302" showDropDown="0" showInputMessage="0" showErrorMessage="0" allowBlank="1" type="list">
      <formula1>=DANHMUC!$F$2:$F$5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C4C"/>
    <outlinePr summaryBelow="1" summaryRight="1"/>
    <pageSetUpPr/>
  </sheetPr>
  <dimension ref="A1:AQ2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3" customWidth="1" min="3" max="3"/>
    <col width="10" customWidth="1" min="4" max="4"/>
    <col width="11" customWidth="1" min="5" max="5"/>
    <col width="12" customWidth="1" min="6" max="6"/>
    <col width="15" customWidth="1" min="7" max="7"/>
    <col width="11" customWidth="1" min="8" max="8"/>
    <col width="12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9" customWidth="1" min="15" max="15"/>
    <col width="13" customWidth="1" min="16" max="16"/>
    <col width="10" customWidth="1" min="17" max="17"/>
    <col width="7" customWidth="1" min="18" max="18"/>
    <col width="13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</cols>
  <sheetData>
    <row r="1" ht="30" customHeight="1">
      <c r="A1" s="1" t="inlineStr">
        <is>
          <t>🎓 ORI ACADEMY   ·   HỒ SƠ HỌC VIÊN &amp; CẢNH BÁO SỚM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</row>
    <row r="2" ht="18" customHeight="1">
      <c r="A2" s="36" t="inlineStr">
        <is>
          <t>THÔNG TIN &amp; QUẢN LÝ RỦI RO (cột O–S tự tính)</t>
        </is>
      </c>
      <c r="T2" s="37" t="inlineStr">
        <is>
          <t>Tháng 1</t>
        </is>
      </c>
      <c r="V2" s="37" t="inlineStr">
        <is>
          <t>Tháng 2</t>
        </is>
      </c>
      <c r="X2" s="37" t="inlineStr">
        <is>
          <t>Tháng 3</t>
        </is>
      </c>
      <c r="Z2" s="37" t="inlineStr">
        <is>
          <t>Tháng 4</t>
        </is>
      </c>
      <c r="AB2" s="37" t="inlineStr">
        <is>
          <t>Tháng 5</t>
        </is>
      </c>
      <c r="AD2" s="37" t="inlineStr">
        <is>
          <t>Tháng 6</t>
        </is>
      </c>
      <c r="AF2" s="37" t="inlineStr">
        <is>
          <t>Tháng 7</t>
        </is>
      </c>
      <c r="AH2" s="37" t="inlineStr">
        <is>
          <t>Tháng 8</t>
        </is>
      </c>
      <c r="AJ2" s="37" t="inlineStr">
        <is>
          <t>Tháng 9</t>
        </is>
      </c>
      <c r="AL2" s="37" t="inlineStr">
        <is>
          <t>Tháng 10</t>
        </is>
      </c>
      <c r="AN2" s="37" t="inlineStr">
        <is>
          <t>Tháng 11</t>
        </is>
      </c>
      <c r="AP2" s="37" t="inlineStr">
        <is>
          <t>Tháng 12</t>
        </is>
      </c>
    </row>
    <row r="3" ht="30" customHeight="1">
      <c r="A3" s="24" t="inlineStr">
        <is>
          <t>Mã HV</t>
        </is>
      </c>
      <c r="B3" s="24" t="inlineStr">
        <is>
          <t>Họ và tên học viên</t>
        </is>
      </c>
      <c r="C3" s="24" t="inlineStr">
        <is>
          <t>SĐT</t>
        </is>
      </c>
      <c r="D3" s="24" t="inlineStr">
        <is>
          <t>Lớp</t>
        </is>
      </c>
      <c r="E3" s="24" t="inlineStr">
        <is>
          <t>Giáo viên</t>
        </is>
      </c>
      <c r="F3" s="24" t="inlineStr">
        <is>
          <t>Ngày nhập học</t>
        </is>
      </c>
      <c r="G3" s="24" t="inlineStr">
        <is>
          <t>Gói học</t>
        </is>
      </c>
      <c r="H3" s="24" t="inlineStr">
        <is>
          <t>Thời gian khóa (tháng)</t>
        </is>
      </c>
      <c r="I3" s="24" t="inlineStr">
        <is>
          <t>Ngày hết hạn</t>
        </is>
      </c>
      <c r="J3" s="24" t="inlineStr">
        <is>
          <t>Giá trị HĐ (VNĐ)</t>
        </is>
      </c>
      <c r="K3" s="24" t="inlineStr">
        <is>
          <t>Tình trạng phí</t>
        </is>
      </c>
      <c r="L3" s="24" t="inlineStr">
        <is>
          <t>Level đầu vào</t>
        </is>
      </c>
      <c r="M3" s="24" t="inlineStr">
        <is>
          <t>Level hiện tại</t>
        </is>
      </c>
      <c r="N3" s="24" t="inlineStr">
        <is>
          <t>Trạng thái</t>
        </is>
      </c>
      <c r="O3" s="38" t="inlineStr">
        <is>
          <t>Vắng tháng này</t>
        </is>
      </c>
      <c r="P3" s="38" t="inlineStr">
        <is>
          <t>Liên hệ gần nhất</t>
        </is>
      </c>
      <c r="Q3" s="38" t="inlineStr">
        <is>
          <t>Ngày còn lại</t>
        </is>
      </c>
      <c r="R3" s="38" t="inlineStr">
        <is>
          <t>Điểm RR</t>
        </is>
      </c>
      <c r="S3" s="38" t="inlineStr">
        <is>
          <t>MỨC RỦI RO</t>
        </is>
      </c>
      <c r="T3" s="39" t="inlineStr">
        <is>
          <t>Phí</t>
        </is>
      </c>
      <c r="U3" s="39" t="inlineStr">
        <is>
          <t>Level</t>
        </is>
      </c>
      <c r="V3" s="39" t="inlineStr">
        <is>
          <t>Phí</t>
        </is>
      </c>
      <c r="W3" s="39" t="inlineStr">
        <is>
          <t>Level</t>
        </is>
      </c>
      <c r="X3" s="39" t="inlineStr">
        <is>
          <t>Phí</t>
        </is>
      </c>
      <c r="Y3" s="39" t="inlineStr">
        <is>
          <t>Level</t>
        </is>
      </c>
      <c r="Z3" s="39" t="inlineStr">
        <is>
          <t>Phí</t>
        </is>
      </c>
      <c r="AA3" s="39" t="inlineStr">
        <is>
          <t>Level</t>
        </is>
      </c>
      <c r="AB3" s="39" t="inlineStr">
        <is>
          <t>Phí</t>
        </is>
      </c>
      <c r="AC3" s="39" t="inlineStr">
        <is>
          <t>Level</t>
        </is>
      </c>
      <c r="AD3" s="39" t="inlineStr">
        <is>
          <t>Phí</t>
        </is>
      </c>
      <c r="AE3" s="39" t="inlineStr">
        <is>
          <t>Level</t>
        </is>
      </c>
      <c r="AF3" s="39" t="inlineStr">
        <is>
          <t>Phí</t>
        </is>
      </c>
      <c r="AG3" s="39" t="inlineStr">
        <is>
          <t>Level</t>
        </is>
      </c>
      <c r="AH3" s="39" t="inlineStr">
        <is>
          <t>Phí</t>
        </is>
      </c>
      <c r="AI3" s="39" t="inlineStr">
        <is>
          <t>Level</t>
        </is>
      </c>
      <c r="AJ3" s="39" t="inlineStr">
        <is>
          <t>Phí</t>
        </is>
      </c>
      <c r="AK3" s="39" t="inlineStr">
        <is>
          <t>Level</t>
        </is>
      </c>
      <c r="AL3" s="39" t="inlineStr">
        <is>
          <t>Phí</t>
        </is>
      </c>
      <c r="AM3" s="39" t="inlineStr">
        <is>
          <t>Level</t>
        </is>
      </c>
      <c r="AN3" s="39" t="inlineStr">
        <is>
          <t>Phí</t>
        </is>
      </c>
      <c r="AO3" s="39" t="inlineStr">
        <is>
          <t>Level</t>
        </is>
      </c>
      <c r="AP3" s="39" t="inlineStr">
        <is>
          <t>Phí</t>
        </is>
      </c>
      <c r="AQ3" s="39" t="inlineStr">
        <is>
          <t>Level</t>
        </is>
      </c>
    </row>
    <row r="4">
      <c r="A4" s="40" t="inlineStr">
        <is>
          <t>ORI001</t>
        </is>
      </c>
      <c r="B4" s="41" t="inlineStr">
        <is>
          <t>Trần Thị B (ví dụ)</t>
        </is>
      </c>
      <c r="C4" s="42" t="inlineStr">
        <is>
          <t>0987654321</t>
        </is>
      </c>
      <c r="D4" s="42" t="inlineStr">
        <is>
          <t>TOEIC-A1</t>
        </is>
      </c>
      <c r="E4" s="42" t="inlineStr">
        <is>
          <t>Ms. Lan</t>
        </is>
      </c>
      <c r="F4" s="43" t="n">
        <v>46082</v>
      </c>
      <c r="G4" s="42" t="inlineStr">
        <is>
          <t>TOEIC 500+</t>
        </is>
      </c>
      <c r="H4" s="42" t="n">
        <v>8</v>
      </c>
      <c r="I4" s="44">
        <f>IFERROR(EDATE(F4,H4),"")</f>
        <v/>
      </c>
      <c r="J4" s="45" t="n">
        <v>6000000</v>
      </c>
      <c r="K4" s="42" t="inlineStr">
        <is>
          <t>Đã đóng</t>
        </is>
      </c>
      <c r="L4" s="42" t="inlineStr">
        <is>
          <t>Foundation</t>
        </is>
      </c>
      <c r="M4" s="42" t="inlineStr">
        <is>
          <t>Level 2</t>
        </is>
      </c>
      <c r="N4" s="42" t="inlineStr">
        <is>
          <t>Đang học</t>
        </is>
      </c>
      <c r="O4" s="40">
        <f>IF($B4="","",IFERROR(INDEX('CHUYÊN CẦN'!$C$3:$N$202,MATCH($A4,'CHUYÊN CẦN'!$A$3:$A$202,0),MONTH(TODAY())),0))</f>
        <v/>
      </c>
      <c r="P4" s="44">
        <f>IF($B4="","",IF(SUMPRODUCT(MAX(('NHẬT KÝ CSKH'!$B$3:$B$1000=$A4)*'NHẬT KÝ CSKH'!$A$3:$A$1000))=0,"",SUMPRODUCT(MAX(('NHẬT KÝ CSKH'!$B$3:$B$1000=$A4)*'NHẬT KÝ CSKH'!$A$3:$A$1000))))</f>
        <v/>
      </c>
      <c r="Q4" s="40">
        <f>IF($B4="","",IF($I4="","",$I4-TODAY()))</f>
        <v/>
      </c>
      <c r="R4" s="40">
        <f>IF($B4="","",IF($O4&gt;=3,2,0)+IF($K4="Còn nợ",2,0)+IF(AND($N4="Đang học",$Q4&lt;&gt;"",$Q4&gt;=0,$Q4&lt;=30),1,0)+IF($P4="",1,IF(TODAY()-$P4&gt;60,1,0)))</f>
        <v/>
      </c>
      <c r="S4" s="40">
        <f>IF($B4="","",IF($R4&gt;=3,"CAO",IF($R4&gt;=1,"TRUNG BÌNH","THẤP")))</f>
        <v/>
      </c>
      <c r="T4" s="40" t="inlineStr">
        <is>
          <t>Đã đóng</t>
        </is>
      </c>
      <c r="U4" s="40" t="inlineStr">
        <is>
          <t>Foundation</t>
        </is>
      </c>
      <c r="V4" s="40" t="inlineStr">
        <is>
          <t>Đã đóng</t>
        </is>
      </c>
      <c r="W4" s="40" t="inlineStr">
        <is>
          <t>Level 1</t>
        </is>
      </c>
      <c r="X4" s="40" t="n"/>
      <c r="Y4" s="40" t="n"/>
      <c r="Z4" s="40" t="n"/>
      <c r="AA4" s="40" t="n"/>
      <c r="AB4" s="40" t="n"/>
      <c r="AC4" s="40" t="n"/>
      <c r="AD4" s="40" t="n"/>
      <c r="AE4" s="40" t="n"/>
      <c r="AF4" s="40" t="n"/>
      <c r="AG4" s="40" t="n"/>
      <c r="AH4" s="40" t="n"/>
      <c r="AI4" s="40" t="n"/>
      <c r="AJ4" s="40" t="n"/>
      <c r="AK4" s="40" t="n"/>
      <c r="AL4" s="40" t="n"/>
      <c r="AM4" s="40" t="n"/>
      <c r="AN4" s="40" t="n"/>
      <c r="AO4" s="40" t="n"/>
      <c r="AP4" s="40" t="n"/>
      <c r="AQ4" s="40" t="n"/>
    </row>
    <row r="5">
      <c r="A5" s="40" t="inlineStr">
        <is>
          <t>ORI002</t>
        </is>
      </c>
      <c r="B5" s="46" t="n"/>
      <c r="C5" s="40" t="n"/>
      <c r="D5" s="40" t="n"/>
      <c r="E5" s="40" t="n"/>
      <c r="F5" s="44" t="n"/>
      <c r="G5" s="40" t="n"/>
      <c r="H5" s="40" t="n"/>
      <c r="I5" s="44">
        <f>IFERROR(EDATE(F5,H5),"")</f>
        <v/>
      </c>
      <c r="J5" s="47" t="n"/>
      <c r="K5" s="40" t="n"/>
      <c r="L5" s="40" t="n"/>
      <c r="M5" s="40" t="n"/>
      <c r="N5" s="40" t="n"/>
      <c r="O5" s="40">
        <f>IF($B5="","",IFERROR(INDEX('CHUYÊN CẦN'!$C$3:$N$202,MATCH($A5,'CHUYÊN CẦN'!$A$3:$A$202,0),MONTH(TODAY())),0))</f>
        <v/>
      </c>
      <c r="P5" s="44">
        <f>IF($B5="","",IF(SUMPRODUCT(MAX(('NHẬT KÝ CSKH'!$B$3:$B$1000=$A5)*'NHẬT KÝ CSKH'!$A$3:$A$1000))=0,"",SUMPRODUCT(MAX(('NHẬT KÝ CSKH'!$B$3:$B$1000=$A5)*'NHẬT KÝ CSKH'!$A$3:$A$1000))))</f>
        <v/>
      </c>
      <c r="Q5" s="40">
        <f>IF($B5="","",IF($I5="","",$I5-TODAY()))</f>
        <v/>
      </c>
      <c r="R5" s="40">
        <f>IF($B5="","",IF($O5&gt;=3,2,0)+IF($K5="Còn nợ",2,0)+IF(AND($N5="Đang học",$Q5&lt;&gt;"",$Q5&gt;=0,$Q5&lt;=30),1,0)+IF($P5="",1,IF(TODAY()-$P5&gt;60,1,0)))</f>
        <v/>
      </c>
      <c r="S5" s="40">
        <f>IF($B5="","",IF($R5&gt;=3,"CAO",IF($R5&gt;=1,"TRUNG BÌNH","THẤP")))</f>
        <v/>
      </c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</row>
    <row r="6">
      <c r="A6" s="40" t="inlineStr">
        <is>
          <t>ORI003</t>
        </is>
      </c>
      <c r="B6" s="46" t="n"/>
      <c r="C6" s="40" t="n"/>
      <c r="D6" s="40" t="n"/>
      <c r="E6" s="40" t="n"/>
      <c r="F6" s="44" t="n"/>
      <c r="G6" s="40" t="n"/>
      <c r="H6" s="40" t="n"/>
      <c r="I6" s="44">
        <f>IFERROR(EDATE(F6,H6),"")</f>
        <v/>
      </c>
      <c r="J6" s="47" t="n"/>
      <c r="K6" s="40" t="n"/>
      <c r="L6" s="40" t="n"/>
      <c r="M6" s="40" t="n"/>
      <c r="N6" s="40" t="n"/>
      <c r="O6" s="40">
        <f>IF($B6="","",IFERROR(INDEX('CHUYÊN CẦN'!$C$3:$N$202,MATCH($A6,'CHUYÊN CẦN'!$A$3:$A$202,0),MONTH(TODAY())),0))</f>
        <v/>
      </c>
      <c r="P6" s="44">
        <f>IF($B6="","",IF(SUMPRODUCT(MAX(('NHẬT KÝ CSKH'!$B$3:$B$1000=$A6)*'NHẬT KÝ CSKH'!$A$3:$A$1000))=0,"",SUMPRODUCT(MAX(('NHẬT KÝ CSKH'!$B$3:$B$1000=$A6)*'NHẬT KÝ CSKH'!$A$3:$A$1000))))</f>
        <v/>
      </c>
      <c r="Q6" s="40">
        <f>IF($B6="","",IF($I6="","",$I6-TODAY()))</f>
        <v/>
      </c>
      <c r="R6" s="40">
        <f>IF($B6="","",IF($O6&gt;=3,2,0)+IF($K6="Còn nợ",2,0)+IF(AND($N6="Đang học",$Q6&lt;&gt;"",$Q6&gt;=0,$Q6&lt;=30),1,0)+IF($P6="",1,IF(TODAY()-$P6&gt;60,1,0)))</f>
        <v/>
      </c>
      <c r="S6" s="40">
        <f>IF($B6="","",IF($R6&gt;=3,"CAO",IF($R6&gt;=1,"TRUNG BÌNH","THẤP")))</f>
        <v/>
      </c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</row>
    <row r="7">
      <c r="A7" s="40" t="inlineStr">
        <is>
          <t>ORI004</t>
        </is>
      </c>
      <c r="B7" s="46" t="n"/>
      <c r="C7" s="40" t="n"/>
      <c r="D7" s="40" t="n"/>
      <c r="E7" s="40" t="n"/>
      <c r="F7" s="44" t="n"/>
      <c r="G7" s="40" t="n"/>
      <c r="H7" s="40" t="n"/>
      <c r="I7" s="44">
        <f>IFERROR(EDATE(F7,H7),"")</f>
        <v/>
      </c>
      <c r="J7" s="47" t="n"/>
      <c r="K7" s="40" t="n"/>
      <c r="L7" s="40" t="n"/>
      <c r="M7" s="40" t="n"/>
      <c r="N7" s="40" t="n"/>
      <c r="O7" s="40">
        <f>IF($B7="","",IFERROR(INDEX('CHUYÊN CẦN'!$C$3:$N$202,MATCH($A7,'CHUYÊN CẦN'!$A$3:$A$202,0),MONTH(TODAY())),0))</f>
        <v/>
      </c>
      <c r="P7" s="44">
        <f>IF($B7="","",IF(SUMPRODUCT(MAX(('NHẬT KÝ CSKH'!$B$3:$B$1000=$A7)*'NHẬT KÝ CSKH'!$A$3:$A$1000))=0,"",SUMPRODUCT(MAX(('NHẬT KÝ CSKH'!$B$3:$B$1000=$A7)*'NHẬT KÝ CSKH'!$A$3:$A$1000))))</f>
        <v/>
      </c>
      <c r="Q7" s="40">
        <f>IF($B7="","",IF($I7="","",$I7-TODAY()))</f>
        <v/>
      </c>
      <c r="R7" s="40">
        <f>IF($B7="","",IF($O7&gt;=3,2,0)+IF($K7="Còn nợ",2,0)+IF(AND($N7="Đang học",$Q7&lt;&gt;"",$Q7&gt;=0,$Q7&lt;=30),1,0)+IF($P7="",1,IF(TODAY()-$P7&gt;60,1,0)))</f>
        <v/>
      </c>
      <c r="S7" s="40">
        <f>IF($B7="","",IF($R7&gt;=3,"CAO",IF($R7&gt;=1,"TRUNG BÌNH","THẤP")))</f>
        <v/>
      </c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</row>
    <row r="8">
      <c r="A8" s="40" t="inlineStr">
        <is>
          <t>ORI005</t>
        </is>
      </c>
      <c r="B8" s="46" t="n"/>
      <c r="C8" s="40" t="n"/>
      <c r="D8" s="40" t="n"/>
      <c r="E8" s="40" t="n"/>
      <c r="F8" s="44" t="n"/>
      <c r="G8" s="40" t="n"/>
      <c r="H8" s="40" t="n"/>
      <c r="I8" s="44">
        <f>IFERROR(EDATE(F8,H8),"")</f>
        <v/>
      </c>
      <c r="J8" s="47" t="n"/>
      <c r="K8" s="40" t="n"/>
      <c r="L8" s="40" t="n"/>
      <c r="M8" s="40" t="n"/>
      <c r="N8" s="40" t="n"/>
      <c r="O8" s="40">
        <f>IF($B8="","",IFERROR(INDEX('CHUYÊN CẦN'!$C$3:$N$202,MATCH($A8,'CHUYÊN CẦN'!$A$3:$A$202,0),MONTH(TODAY())),0))</f>
        <v/>
      </c>
      <c r="P8" s="44">
        <f>IF($B8="","",IF(SUMPRODUCT(MAX(('NHẬT KÝ CSKH'!$B$3:$B$1000=$A8)*'NHẬT KÝ CSKH'!$A$3:$A$1000))=0,"",SUMPRODUCT(MAX(('NHẬT KÝ CSKH'!$B$3:$B$1000=$A8)*'NHẬT KÝ CSKH'!$A$3:$A$1000))))</f>
        <v/>
      </c>
      <c r="Q8" s="40">
        <f>IF($B8="","",IF($I8="","",$I8-TODAY()))</f>
        <v/>
      </c>
      <c r="R8" s="40">
        <f>IF($B8="","",IF($O8&gt;=3,2,0)+IF($K8="Còn nợ",2,0)+IF(AND($N8="Đang học",$Q8&lt;&gt;"",$Q8&gt;=0,$Q8&lt;=30),1,0)+IF($P8="",1,IF(TODAY()-$P8&gt;60,1,0)))</f>
        <v/>
      </c>
      <c r="S8" s="40">
        <f>IF($B8="","",IF($R8&gt;=3,"CAO",IF($R8&gt;=1,"TRUNG BÌNH","THẤP")))</f>
        <v/>
      </c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</row>
    <row r="9">
      <c r="A9" s="40" t="inlineStr">
        <is>
          <t>ORI006</t>
        </is>
      </c>
      <c r="B9" s="46" t="n"/>
      <c r="C9" s="40" t="n"/>
      <c r="D9" s="40" t="n"/>
      <c r="E9" s="40" t="n"/>
      <c r="F9" s="44" t="n"/>
      <c r="G9" s="40" t="n"/>
      <c r="H9" s="40" t="n"/>
      <c r="I9" s="44">
        <f>IFERROR(EDATE(F9,H9),"")</f>
        <v/>
      </c>
      <c r="J9" s="47" t="n"/>
      <c r="K9" s="40" t="n"/>
      <c r="L9" s="40" t="n"/>
      <c r="M9" s="40" t="n"/>
      <c r="N9" s="40" t="n"/>
      <c r="O9" s="40">
        <f>IF($B9="","",IFERROR(INDEX('CHUYÊN CẦN'!$C$3:$N$202,MATCH($A9,'CHUYÊN CẦN'!$A$3:$A$202,0),MONTH(TODAY())),0))</f>
        <v/>
      </c>
      <c r="P9" s="44">
        <f>IF($B9="","",IF(SUMPRODUCT(MAX(('NHẬT KÝ CSKH'!$B$3:$B$1000=$A9)*'NHẬT KÝ CSKH'!$A$3:$A$1000))=0,"",SUMPRODUCT(MAX(('NHẬT KÝ CSKH'!$B$3:$B$1000=$A9)*'NHẬT KÝ CSKH'!$A$3:$A$1000))))</f>
        <v/>
      </c>
      <c r="Q9" s="40">
        <f>IF($B9="","",IF($I9="","",$I9-TODAY()))</f>
        <v/>
      </c>
      <c r="R9" s="40">
        <f>IF($B9="","",IF($O9&gt;=3,2,0)+IF($K9="Còn nợ",2,0)+IF(AND($N9="Đang học",$Q9&lt;&gt;"",$Q9&gt;=0,$Q9&lt;=30),1,0)+IF($P9="",1,IF(TODAY()-$P9&gt;60,1,0)))</f>
        <v/>
      </c>
      <c r="S9" s="40">
        <f>IF($B9="","",IF($R9&gt;=3,"CAO",IF($R9&gt;=1,"TRUNG BÌNH","THẤP")))</f>
        <v/>
      </c>
      <c r="T9" s="40" t="n"/>
      <c r="U9" s="40" t="n"/>
      <c r="V9" s="40" t="n"/>
      <c r="W9" s="40" t="n"/>
      <c r="X9" s="40" t="n"/>
      <c r="Y9" s="40" t="n"/>
      <c r="Z9" s="40" t="n"/>
      <c r="AA9" s="40" t="n"/>
      <c r="AB9" s="40" t="n"/>
      <c r="AC9" s="40" t="n"/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</row>
    <row r="10">
      <c r="A10" s="40" t="inlineStr">
        <is>
          <t>ORI007</t>
        </is>
      </c>
      <c r="B10" s="46" t="n"/>
      <c r="C10" s="40" t="n"/>
      <c r="D10" s="40" t="n"/>
      <c r="E10" s="40" t="n"/>
      <c r="F10" s="44" t="n"/>
      <c r="G10" s="40" t="n"/>
      <c r="H10" s="40" t="n"/>
      <c r="I10" s="44">
        <f>IFERROR(EDATE(F10,H10),"")</f>
        <v/>
      </c>
      <c r="J10" s="47" t="n"/>
      <c r="K10" s="40" t="n"/>
      <c r="L10" s="40" t="n"/>
      <c r="M10" s="40" t="n"/>
      <c r="N10" s="40" t="n"/>
      <c r="O10" s="40">
        <f>IF($B10="","",IFERROR(INDEX('CHUYÊN CẦN'!$C$3:$N$202,MATCH($A10,'CHUYÊN CẦN'!$A$3:$A$202,0),MONTH(TODAY())),0))</f>
        <v/>
      </c>
      <c r="P10" s="44">
        <f>IF($B10="","",IF(SUMPRODUCT(MAX(('NHẬT KÝ CSKH'!$B$3:$B$1000=$A10)*'NHẬT KÝ CSKH'!$A$3:$A$1000))=0,"",SUMPRODUCT(MAX(('NHẬT KÝ CSKH'!$B$3:$B$1000=$A10)*'NHẬT KÝ CSKH'!$A$3:$A$1000))))</f>
        <v/>
      </c>
      <c r="Q10" s="40">
        <f>IF($B10="","",IF($I10="","",$I10-TODAY()))</f>
        <v/>
      </c>
      <c r="R10" s="40">
        <f>IF($B10="","",IF($O10&gt;=3,2,0)+IF($K10="Còn nợ",2,0)+IF(AND($N10="Đang học",$Q10&lt;&gt;"",$Q10&gt;=0,$Q10&lt;=30),1,0)+IF($P10="",1,IF(TODAY()-$P10&gt;60,1,0)))</f>
        <v/>
      </c>
      <c r="S10" s="40">
        <f>IF($B10="","",IF($R10&gt;=3,"CAO",IF($R10&gt;=1,"TRUNG BÌNH","THẤP")))</f>
        <v/>
      </c>
      <c r="T10" s="40" t="n"/>
      <c r="U10" s="40" t="n"/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</row>
    <row r="11">
      <c r="A11" s="40" t="inlineStr">
        <is>
          <t>ORI008</t>
        </is>
      </c>
      <c r="B11" s="46" t="n"/>
      <c r="C11" s="40" t="n"/>
      <c r="D11" s="40" t="n"/>
      <c r="E11" s="40" t="n"/>
      <c r="F11" s="44" t="n"/>
      <c r="G11" s="40" t="n"/>
      <c r="H11" s="40" t="n"/>
      <c r="I11" s="44">
        <f>IFERROR(EDATE(F11,H11),"")</f>
        <v/>
      </c>
      <c r="J11" s="47" t="n"/>
      <c r="K11" s="40" t="n"/>
      <c r="L11" s="40" t="n"/>
      <c r="M11" s="40" t="n"/>
      <c r="N11" s="40" t="n"/>
      <c r="O11" s="40">
        <f>IF($B11="","",IFERROR(INDEX('CHUYÊN CẦN'!$C$3:$N$202,MATCH($A11,'CHUYÊN CẦN'!$A$3:$A$202,0),MONTH(TODAY())),0))</f>
        <v/>
      </c>
      <c r="P11" s="44">
        <f>IF($B11="","",IF(SUMPRODUCT(MAX(('NHẬT KÝ CSKH'!$B$3:$B$1000=$A11)*'NHẬT KÝ CSKH'!$A$3:$A$1000))=0,"",SUMPRODUCT(MAX(('NHẬT KÝ CSKH'!$B$3:$B$1000=$A11)*'NHẬT KÝ CSKH'!$A$3:$A$1000))))</f>
        <v/>
      </c>
      <c r="Q11" s="40">
        <f>IF($B11="","",IF($I11="","",$I11-TODAY()))</f>
        <v/>
      </c>
      <c r="R11" s="40">
        <f>IF($B11="","",IF($O11&gt;=3,2,0)+IF($K11="Còn nợ",2,0)+IF(AND($N11="Đang học",$Q11&lt;&gt;"",$Q11&gt;=0,$Q11&lt;=30),1,0)+IF($P11="",1,IF(TODAY()-$P11&gt;60,1,0)))</f>
        <v/>
      </c>
      <c r="S11" s="40">
        <f>IF($B11="","",IF($R11&gt;=3,"CAO",IF($R11&gt;=1,"TRUNG BÌNH","THẤP")))</f>
        <v/>
      </c>
      <c r="T11" s="40" t="n"/>
      <c r="U11" s="40" t="n"/>
      <c r="V11" s="40" t="n"/>
      <c r="W11" s="40" t="n"/>
      <c r="X11" s="40" t="n"/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</row>
    <row r="12">
      <c r="A12" s="40" t="inlineStr">
        <is>
          <t>ORI009</t>
        </is>
      </c>
      <c r="B12" s="46" t="n"/>
      <c r="C12" s="40" t="n"/>
      <c r="D12" s="40" t="n"/>
      <c r="E12" s="40" t="n"/>
      <c r="F12" s="44" t="n"/>
      <c r="G12" s="40" t="n"/>
      <c r="H12" s="40" t="n"/>
      <c r="I12" s="44">
        <f>IFERROR(EDATE(F12,H12),"")</f>
        <v/>
      </c>
      <c r="J12" s="47" t="n"/>
      <c r="K12" s="40" t="n"/>
      <c r="L12" s="40" t="n"/>
      <c r="M12" s="40" t="n"/>
      <c r="N12" s="40" t="n"/>
      <c r="O12" s="40">
        <f>IF($B12="","",IFERROR(INDEX('CHUYÊN CẦN'!$C$3:$N$202,MATCH($A12,'CHUYÊN CẦN'!$A$3:$A$202,0),MONTH(TODAY())),0))</f>
        <v/>
      </c>
      <c r="P12" s="44">
        <f>IF($B12="","",IF(SUMPRODUCT(MAX(('NHẬT KÝ CSKH'!$B$3:$B$1000=$A12)*'NHẬT KÝ CSKH'!$A$3:$A$1000))=0,"",SUMPRODUCT(MAX(('NHẬT KÝ CSKH'!$B$3:$B$1000=$A12)*'NHẬT KÝ CSKH'!$A$3:$A$1000))))</f>
        <v/>
      </c>
      <c r="Q12" s="40">
        <f>IF($B12="","",IF($I12="","",$I12-TODAY()))</f>
        <v/>
      </c>
      <c r="R12" s="40">
        <f>IF($B12="","",IF($O12&gt;=3,2,0)+IF($K12="Còn nợ",2,0)+IF(AND($N12="Đang học",$Q12&lt;&gt;"",$Q12&gt;=0,$Q12&lt;=30),1,0)+IF($P12="",1,IF(TODAY()-$P12&gt;60,1,0)))</f>
        <v/>
      </c>
      <c r="S12" s="40">
        <f>IF($B12="","",IF($R12&gt;=3,"CAO",IF($R12&gt;=1,"TRUNG BÌNH","THẤP")))</f>
        <v/>
      </c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</row>
    <row r="13">
      <c r="A13" s="40" t="inlineStr">
        <is>
          <t>ORI010</t>
        </is>
      </c>
      <c r="B13" s="46" t="n"/>
      <c r="C13" s="40" t="n"/>
      <c r="D13" s="40" t="n"/>
      <c r="E13" s="40" t="n"/>
      <c r="F13" s="44" t="n"/>
      <c r="G13" s="40" t="n"/>
      <c r="H13" s="40" t="n"/>
      <c r="I13" s="44">
        <f>IFERROR(EDATE(F13,H13),"")</f>
        <v/>
      </c>
      <c r="J13" s="47" t="n"/>
      <c r="K13" s="40" t="n"/>
      <c r="L13" s="40" t="n"/>
      <c r="M13" s="40" t="n"/>
      <c r="N13" s="40" t="n"/>
      <c r="O13" s="40">
        <f>IF($B13="","",IFERROR(INDEX('CHUYÊN CẦN'!$C$3:$N$202,MATCH($A13,'CHUYÊN CẦN'!$A$3:$A$202,0),MONTH(TODAY())),0))</f>
        <v/>
      </c>
      <c r="P13" s="44">
        <f>IF($B13="","",IF(SUMPRODUCT(MAX(('NHẬT KÝ CSKH'!$B$3:$B$1000=$A13)*'NHẬT KÝ CSKH'!$A$3:$A$1000))=0,"",SUMPRODUCT(MAX(('NHẬT KÝ CSKH'!$B$3:$B$1000=$A13)*'NHẬT KÝ CSKH'!$A$3:$A$1000))))</f>
        <v/>
      </c>
      <c r="Q13" s="40">
        <f>IF($B13="","",IF($I13="","",$I13-TODAY()))</f>
        <v/>
      </c>
      <c r="R13" s="40">
        <f>IF($B13="","",IF($O13&gt;=3,2,0)+IF($K13="Còn nợ",2,0)+IF(AND($N13="Đang học",$Q13&lt;&gt;"",$Q13&gt;=0,$Q13&lt;=30),1,0)+IF($P13="",1,IF(TODAY()-$P13&gt;60,1,0)))</f>
        <v/>
      </c>
      <c r="S13" s="40">
        <f>IF($B13="","",IF($R13&gt;=3,"CAO",IF($R13&gt;=1,"TRUNG BÌNH","THẤP")))</f>
        <v/>
      </c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40" t="n"/>
      <c r="AC13" s="40" t="n"/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</row>
    <row r="14">
      <c r="A14" s="40" t="inlineStr">
        <is>
          <t>ORI011</t>
        </is>
      </c>
      <c r="B14" s="46" t="n"/>
      <c r="C14" s="40" t="n"/>
      <c r="D14" s="40" t="n"/>
      <c r="E14" s="40" t="n"/>
      <c r="F14" s="44" t="n"/>
      <c r="G14" s="40" t="n"/>
      <c r="H14" s="40" t="n"/>
      <c r="I14" s="44">
        <f>IFERROR(EDATE(F14,H14),"")</f>
        <v/>
      </c>
      <c r="J14" s="47" t="n"/>
      <c r="K14" s="40" t="n"/>
      <c r="L14" s="40" t="n"/>
      <c r="M14" s="40" t="n"/>
      <c r="N14" s="40" t="n"/>
      <c r="O14" s="40">
        <f>IF($B14="","",IFERROR(INDEX('CHUYÊN CẦN'!$C$3:$N$202,MATCH($A14,'CHUYÊN CẦN'!$A$3:$A$202,0),MONTH(TODAY())),0))</f>
        <v/>
      </c>
      <c r="P14" s="44">
        <f>IF($B14="","",IF(SUMPRODUCT(MAX(('NHẬT KÝ CSKH'!$B$3:$B$1000=$A14)*'NHẬT KÝ CSKH'!$A$3:$A$1000))=0,"",SUMPRODUCT(MAX(('NHẬT KÝ CSKH'!$B$3:$B$1000=$A14)*'NHẬT KÝ CSKH'!$A$3:$A$1000))))</f>
        <v/>
      </c>
      <c r="Q14" s="40">
        <f>IF($B14="","",IF($I14="","",$I14-TODAY()))</f>
        <v/>
      </c>
      <c r="R14" s="40">
        <f>IF($B14="","",IF($O14&gt;=3,2,0)+IF($K14="Còn nợ",2,0)+IF(AND($N14="Đang học",$Q14&lt;&gt;"",$Q14&gt;=0,$Q14&lt;=30),1,0)+IF($P14="",1,IF(TODAY()-$P14&gt;60,1,0)))</f>
        <v/>
      </c>
      <c r="S14" s="40">
        <f>IF($B14="","",IF($R14&gt;=3,"CAO",IF($R14&gt;=1,"TRUNG BÌNH","THẤP")))</f>
        <v/>
      </c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</row>
    <row r="15">
      <c r="A15" s="40" t="inlineStr">
        <is>
          <t>ORI012</t>
        </is>
      </c>
      <c r="B15" s="46" t="n"/>
      <c r="C15" s="40" t="n"/>
      <c r="D15" s="40" t="n"/>
      <c r="E15" s="40" t="n"/>
      <c r="F15" s="44" t="n"/>
      <c r="G15" s="40" t="n"/>
      <c r="H15" s="40" t="n"/>
      <c r="I15" s="44">
        <f>IFERROR(EDATE(F15,H15),"")</f>
        <v/>
      </c>
      <c r="J15" s="47" t="n"/>
      <c r="K15" s="40" t="n"/>
      <c r="L15" s="40" t="n"/>
      <c r="M15" s="40" t="n"/>
      <c r="N15" s="40" t="n"/>
      <c r="O15" s="40">
        <f>IF($B15="","",IFERROR(INDEX('CHUYÊN CẦN'!$C$3:$N$202,MATCH($A15,'CHUYÊN CẦN'!$A$3:$A$202,0),MONTH(TODAY())),0))</f>
        <v/>
      </c>
      <c r="P15" s="44">
        <f>IF($B15="","",IF(SUMPRODUCT(MAX(('NHẬT KÝ CSKH'!$B$3:$B$1000=$A15)*'NHẬT KÝ CSKH'!$A$3:$A$1000))=0,"",SUMPRODUCT(MAX(('NHẬT KÝ CSKH'!$B$3:$B$1000=$A15)*'NHẬT KÝ CSKH'!$A$3:$A$1000))))</f>
        <v/>
      </c>
      <c r="Q15" s="40">
        <f>IF($B15="","",IF($I15="","",$I15-TODAY()))</f>
        <v/>
      </c>
      <c r="R15" s="40">
        <f>IF($B15="","",IF($O15&gt;=3,2,0)+IF($K15="Còn nợ",2,0)+IF(AND($N15="Đang học",$Q15&lt;&gt;"",$Q15&gt;=0,$Q15&lt;=30),1,0)+IF($P15="",1,IF(TODAY()-$P15&gt;60,1,0)))</f>
        <v/>
      </c>
      <c r="S15" s="40">
        <f>IF($B15="","",IF($R15&gt;=3,"CAO",IF($R15&gt;=1,"TRUNG BÌNH","THẤP")))</f>
        <v/>
      </c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40" t="n"/>
      <c r="AC15" s="40" t="n"/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</row>
    <row r="16">
      <c r="A16" s="40" t="inlineStr">
        <is>
          <t>ORI013</t>
        </is>
      </c>
      <c r="B16" s="46" t="n"/>
      <c r="C16" s="40" t="n"/>
      <c r="D16" s="40" t="n"/>
      <c r="E16" s="40" t="n"/>
      <c r="F16" s="44" t="n"/>
      <c r="G16" s="40" t="n"/>
      <c r="H16" s="40" t="n"/>
      <c r="I16" s="44">
        <f>IFERROR(EDATE(F16,H16),"")</f>
        <v/>
      </c>
      <c r="J16" s="47" t="n"/>
      <c r="K16" s="40" t="n"/>
      <c r="L16" s="40" t="n"/>
      <c r="M16" s="40" t="n"/>
      <c r="N16" s="40" t="n"/>
      <c r="O16" s="40">
        <f>IF($B16="","",IFERROR(INDEX('CHUYÊN CẦN'!$C$3:$N$202,MATCH($A16,'CHUYÊN CẦN'!$A$3:$A$202,0),MONTH(TODAY())),0))</f>
        <v/>
      </c>
      <c r="P16" s="44">
        <f>IF($B16="","",IF(SUMPRODUCT(MAX(('NHẬT KÝ CSKH'!$B$3:$B$1000=$A16)*'NHẬT KÝ CSKH'!$A$3:$A$1000))=0,"",SUMPRODUCT(MAX(('NHẬT KÝ CSKH'!$B$3:$B$1000=$A16)*'NHẬT KÝ CSKH'!$A$3:$A$1000))))</f>
        <v/>
      </c>
      <c r="Q16" s="40">
        <f>IF($B16="","",IF($I16="","",$I16-TODAY()))</f>
        <v/>
      </c>
      <c r="R16" s="40">
        <f>IF($B16="","",IF($O16&gt;=3,2,0)+IF($K16="Còn nợ",2,0)+IF(AND($N16="Đang học",$Q16&lt;&gt;"",$Q16&gt;=0,$Q16&lt;=30),1,0)+IF($P16="",1,IF(TODAY()-$P16&gt;60,1,0)))</f>
        <v/>
      </c>
      <c r="S16" s="40">
        <f>IF($B16="","",IF($R16&gt;=3,"CAO",IF($R16&gt;=1,"TRUNG BÌNH","THẤP")))</f>
        <v/>
      </c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40" t="n"/>
      <c r="AC16" s="40" t="n"/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  <c r="AO16" s="40" t="n"/>
      <c r="AP16" s="40" t="n"/>
      <c r="AQ16" s="40" t="n"/>
    </row>
    <row r="17">
      <c r="A17" s="40" t="inlineStr">
        <is>
          <t>ORI014</t>
        </is>
      </c>
      <c r="B17" s="46" t="n"/>
      <c r="C17" s="40" t="n"/>
      <c r="D17" s="40" t="n"/>
      <c r="E17" s="40" t="n"/>
      <c r="F17" s="44" t="n"/>
      <c r="G17" s="40" t="n"/>
      <c r="H17" s="40" t="n"/>
      <c r="I17" s="44">
        <f>IFERROR(EDATE(F17,H17),"")</f>
        <v/>
      </c>
      <c r="J17" s="47" t="n"/>
      <c r="K17" s="40" t="n"/>
      <c r="L17" s="40" t="n"/>
      <c r="M17" s="40" t="n"/>
      <c r="N17" s="40" t="n"/>
      <c r="O17" s="40">
        <f>IF($B17="","",IFERROR(INDEX('CHUYÊN CẦN'!$C$3:$N$202,MATCH($A17,'CHUYÊN CẦN'!$A$3:$A$202,0),MONTH(TODAY())),0))</f>
        <v/>
      </c>
      <c r="P17" s="44">
        <f>IF($B17="","",IF(SUMPRODUCT(MAX(('NHẬT KÝ CSKH'!$B$3:$B$1000=$A17)*'NHẬT KÝ CSKH'!$A$3:$A$1000))=0,"",SUMPRODUCT(MAX(('NHẬT KÝ CSKH'!$B$3:$B$1000=$A17)*'NHẬT KÝ CSKH'!$A$3:$A$1000))))</f>
        <v/>
      </c>
      <c r="Q17" s="40">
        <f>IF($B17="","",IF($I17="","",$I17-TODAY()))</f>
        <v/>
      </c>
      <c r="R17" s="40">
        <f>IF($B17="","",IF($O17&gt;=3,2,0)+IF($K17="Còn nợ",2,0)+IF(AND($N17="Đang học",$Q17&lt;&gt;"",$Q17&gt;=0,$Q17&lt;=30),1,0)+IF($P17="",1,IF(TODAY()-$P17&gt;60,1,0)))</f>
        <v/>
      </c>
      <c r="S17" s="40">
        <f>IF($B17="","",IF($R17&gt;=3,"CAO",IF($R17&gt;=1,"TRUNG BÌNH","THẤP")))</f>
        <v/>
      </c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  <c r="AO17" s="40" t="n"/>
      <c r="AP17" s="40" t="n"/>
      <c r="AQ17" s="40" t="n"/>
    </row>
    <row r="18">
      <c r="A18" s="40" t="inlineStr">
        <is>
          <t>ORI015</t>
        </is>
      </c>
      <c r="B18" s="46" t="n"/>
      <c r="C18" s="40" t="n"/>
      <c r="D18" s="40" t="n"/>
      <c r="E18" s="40" t="n"/>
      <c r="F18" s="44" t="n"/>
      <c r="G18" s="40" t="n"/>
      <c r="H18" s="40" t="n"/>
      <c r="I18" s="44">
        <f>IFERROR(EDATE(F18,H18),"")</f>
        <v/>
      </c>
      <c r="J18" s="47" t="n"/>
      <c r="K18" s="40" t="n"/>
      <c r="L18" s="40" t="n"/>
      <c r="M18" s="40" t="n"/>
      <c r="N18" s="40" t="n"/>
      <c r="O18" s="40">
        <f>IF($B18="","",IFERROR(INDEX('CHUYÊN CẦN'!$C$3:$N$202,MATCH($A18,'CHUYÊN CẦN'!$A$3:$A$202,0),MONTH(TODAY())),0))</f>
        <v/>
      </c>
      <c r="P18" s="44">
        <f>IF($B18="","",IF(SUMPRODUCT(MAX(('NHẬT KÝ CSKH'!$B$3:$B$1000=$A18)*'NHẬT KÝ CSKH'!$A$3:$A$1000))=0,"",SUMPRODUCT(MAX(('NHẬT KÝ CSKH'!$B$3:$B$1000=$A18)*'NHẬT KÝ CSKH'!$A$3:$A$1000))))</f>
        <v/>
      </c>
      <c r="Q18" s="40">
        <f>IF($B18="","",IF($I18="","",$I18-TODAY()))</f>
        <v/>
      </c>
      <c r="R18" s="40">
        <f>IF($B18="","",IF($O18&gt;=3,2,0)+IF($K18="Còn nợ",2,0)+IF(AND($N18="Đang học",$Q18&lt;&gt;"",$Q18&gt;=0,$Q18&lt;=30),1,0)+IF($P18="",1,IF(TODAY()-$P18&gt;60,1,0)))</f>
        <v/>
      </c>
      <c r="S18" s="40">
        <f>IF($B18="","",IF($R18&gt;=3,"CAO",IF($R18&gt;=1,"TRUNG BÌNH","THẤP")))</f>
        <v/>
      </c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  <c r="AO18" s="40" t="n"/>
      <c r="AP18" s="40" t="n"/>
      <c r="AQ18" s="40" t="n"/>
    </row>
    <row r="19">
      <c r="A19" s="40" t="inlineStr">
        <is>
          <t>ORI016</t>
        </is>
      </c>
      <c r="B19" s="46" t="n"/>
      <c r="C19" s="40" t="n"/>
      <c r="D19" s="40" t="n"/>
      <c r="E19" s="40" t="n"/>
      <c r="F19" s="44" t="n"/>
      <c r="G19" s="40" t="n"/>
      <c r="H19" s="40" t="n"/>
      <c r="I19" s="44">
        <f>IFERROR(EDATE(F19,H19),"")</f>
        <v/>
      </c>
      <c r="J19" s="47" t="n"/>
      <c r="K19" s="40" t="n"/>
      <c r="L19" s="40" t="n"/>
      <c r="M19" s="40" t="n"/>
      <c r="N19" s="40" t="n"/>
      <c r="O19" s="40">
        <f>IF($B19="","",IFERROR(INDEX('CHUYÊN CẦN'!$C$3:$N$202,MATCH($A19,'CHUYÊN CẦN'!$A$3:$A$202,0),MONTH(TODAY())),0))</f>
        <v/>
      </c>
      <c r="P19" s="44">
        <f>IF($B19="","",IF(SUMPRODUCT(MAX(('NHẬT KÝ CSKH'!$B$3:$B$1000=$A19)*'NHẬT KÝ CSKH'!$A$3:$A$1000))=0,"",SUMPRODUCT(MAX(('NHẬT KÝ CSKH'!$B$3:$B$1000=$A19)*'NHẬT KÝ CSKH'!$A$3:$A$1000))))</f>
        <v/>
      </c>
      <c r="Q19" s="40">
        <f>IF($B19="","",IF($I19="","",$I19-TODAY()))</f>
        <v/>
      </c>
      <c r="R19" s="40">
        <f>IF($B19="","",IF($O19&gt;=3,2,0)+IF($K19="Còn nợ",2,0)+IF(AND($N19="Đang học",$Q19&lt;&gt;"",$Q19&gt;=0,$Q19&lt;=30),1,0)+IF($P19="",1,IF(TODAY()-$P19&gt;60,1,0)))</f>
        <v/>
      </c>
      <c r="S19" s="40">
        <f>IF($B19="","",IF($R19&gt;=3,"CAO",IF($R19&gt;=1,"TRUNG BÌNH","THẤP")))</f>
        <v/>
      </c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40" t="n"/>
      <c r="AC19" s="40" t="n"/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  <c r="AO19" s="40" t="n"/>
      <c r="AP19" s="40" t="n"/>
      <c r="AQ19" s="40" t="n"/>
    </row>
    <row r="20">
      <c r="A20" s="40" t="inlineStr">
        <is>
          <t>ORI017</t>
        </is>
      </c>
      <c r="B20" s="46" t="n"/>
      <c r="C20" s="40" t="n"/>
      <c r="D20" s="40" t="n"/>
      <c r="E20" s="40" t="n"/>
      <c r="F20" s="44" t="n"/>
      <c r="G20" s="40" t="n"/>
      <c r="H20" s="40" t="n"/>
      <c r="I20" s="44">
        <f>IFERROR(EDATE(F20,H20),"")</f>
        <v/>
      </c>
      <c r="J20" s="47" t="n"/>
      <c r="K20" s="40" t="n"/>
      <c r="L20" s="40" t="n"/>
      <c r="M20" s="40" t="n"/>
      <c r="N20" s="40" t="n"/>
      <c r="O20" s="40">
        <f>IF($B20="","",IFERROR(INDEX('CHUYÊN CẦN'!$C$3:$N$202,MATCH($A20,'CHUYÊN CẦN'!$A$3:$A$202,0),MONTH(TODAY())),0))</f>
        <v/>
      </c>
      <c r="P20" s="44">
        <f>IF($B20="","",IF(SUMPRODUCT(MAX(('NHẬT KÝ CSKH'!$B$3:$B$1000=$A20)*'NHẬT KÝ CSKH'!$A$3:$A$1000))=0,"",SUMPRODUCT(MAX(('NHẬT KÝ CSKH'!$B$3:$B$1000=$A20)*'NHẬT KÝ CSKH'!$A$3:$A$1000))))</f>
        <v/>
      </c>
      <c r="Q20" s="40">
        <f>IF($B20="","",IF($I20="","",$I20-TODAY()))</f>
        <v/>
      </c>
      <c r="R20" s="40">
        <f>IF($B20="","",IF($O20&gt;=3,2,0)+IF($K20="Còn nợ",2,0)+IF(AND($N20="Đang học",$Q20&lt;&gt;"",$Q20&gt;=0,$Q20&lt;=30),1,0)+IF($P20="",1,IF(TODAY()-$P20&gt;60,1,0)))</f>
        <v/>
      </c>
      <c r="S20" s="40">
        <f>IF($B20="","",IF($R20&gt;=3,"CAO",IF($R20&gt;=1,"TRUNG BÌNH","THẤP")))</f>
        <v/>
      </c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</row>
    <row r="21">
      <c r="A21" s="40" t="inlineStr">
        <is>
          <t>ORI018</t>
        </is>
      </c>
      <c r="B21" s="46" t="n"/>
      <c r="C21" s="40" t="n"/>
      <c r="D21" s="40" t="n"/>
      <c r="E21" s="40" t="n"/>
      <c r="F21" s="44" t="n"/>
      <c r="G21" s="40" t="n"/>
      <c r="H21" s="40" t="n"/>
      <c r="I21" s="44">
        <f>IFERROR(EDATE(F21,H21),"")</f>
        <v/>
      </c>
      <c r="J21" s="47" t="n"/>
      <c r="K21" s="40" t="n"/>
      <c r="L21" s="40" t="n"/>
      <c r="M21" s="40" t="n"/>
      <c r="N21" s="40" t="n"/>
      <c r="O21" s="40">
        <f>IF($B21="","",IFERROR(INDEX('CHUYÊN CẦN'!$C$3:$N$202,MATCH($A21,'CHUYÊN CẦN'!$A$3:$A$202,0),MONTH(TODAY())),0))</f>
        <v/>
      </c>
      <c r="P21" s="44">
        <f>IF($B21="","",IF(SUMPRODUCT(MAX(('NHẬT KÝ CSKH'!$B$3:$B$1000=$A21)*'NHẬT KÝ CSKH'!$A$3:$A$1000))=0,"",SUMPRODUCT(MAX(('NHẬT KÝ CSKH'!$B$3:$B$1000=$A21)*'NHẬT KÝ CSKH'!$A$3:$A$1000))))</f>
        <v/>
      </c>
      <c r="Q21" s="40">
        <f>IF($B21="","",IF($I21="","",$I21-TODAY()))</f>
        <v/>
      </c>
      <c r="R21" s="40">
        <f>IF($B21="","",IF($O21&gt;=3,2,0)+IF($K21="Còn nợ",2,0)+IF(AND($N21="Đang học",$Q21&lt;&gt;"",$Q21&gt;=0,$Q21&lt;=30),1,0)+IF($P21="",1,IF(TODAY()-$P21&gt;60,1,0)))</f>
        <v/>
      </c>
      <c r="S21" s="40">
        <f>IF($B21="","",IF($R21&gt;=3,"CAO",IF($R21&gt;=1,"TRUNG BÌNH","THẤP")))</f>
        <v/>
      </c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40" t="n"/>
      <c r="AC21" s="40" t="n"/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  <c r="AO21" s="40" t="n"/>
      <c r="AP21" s="40" t="n"/>
      <c r="AQ21" s="40" t="n"/>
    </row>
    <row r="22">
      <c r="A22" s="40" t="inlineStr">
        <is>
          <t>ORI019</t>
        </is>
      </c>
      <c r="B22" s="46" t="n"/>
      <c r="C22" s="40" t="n"/>
      <c r="D22" s="40" t="n"/>
      <c r="E22" s="40" t="n"/>
      <c r="F22" s="44" t="n"/>
      <c r="G22" s="40" t="n"/>
      <c r="H22" s="40" t="n"/>
      <c r="I22" s="44">
        <f>IFERROR(EDATE(F22,H22),"")</f>
        <v/>
      </c>
      <c r="J22" s="47" t="n"/>
      <c r="K22" s="40" t="n"/>
      <c r="L22" s="40" t="n"/>
      <c r="M22" s="40" t="n"/>
      <c r="N22" s="40" t="n"/>
      <c r="O22" s="40">
        <f>IF($B22="","",IFERROR(INDEX('CHUYÊN CẦN'!$C$3:$N$202,MATCH($A22,'CHUYÊN CẦN'!$A$3:$A$202,0),MONTH(TODAY())),0))</f>
        <v/>
      </c>
      <c r="P22" s="44">
        <f>IF($B22="","",IF(SUMPRODUCT(MAX(('NHẬT KÝ CSKH'!$B$3:$B$1000=$A22)*'NHẬT KÝ CSKH'!$A$3:$A$1000))=0,"",SUMPRODUCT(MAX(('NHẬT KÝ CSKH'!$B$3:$B$1000=$A22)*'NHẬT KÝ CSKH'!$A$3:$A$1000))))</f>
        <v/>
      </c>
      <c r="Q22" s="40">
        <f>IF($B22="","",IF($I22="","",$I22-TODAY()))</f>
        <v/>
      </c>
      <c r="R22" s="40">
        <f>IF($B22="","",IF($O22&gt;=3,2,0)+IF($K22="Còn nợ",2,0)+IF(AND($N22="Đang học",$Q22&lt;&gt;"",$Q22&gt;=0,$Q22&lt;=30),1,0)+IF($P22="",1,IF(TODAY()-$P22&gt;60,1,0)))</f>
        <v/>
      </c>
      <c r="S22" s="40">
        <f>IF($B22="","",IF($R22&gt;=3,"CAO",IF($R22&gt;=1,"TRUNG BÌNH","THẤP")))</f>
        <v/>
      </c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</row>
    <row r="23">
      <c r="A23" s="40" t="inlineStr">
        <is>
          <t>ORI020</t>
        </is>
      </c>
      <c r="B23" s="46" t="n"/>
      <c r="C23" s="40" t="n"/>
      <c r="D23" s="40" t="n"/>
      <c r="E23" s="40" t="n"/>
      <c r="F23" s="44" t="n"/>
      <c r="G23" s="40" t="n"/>
      <c r="H23" s="40" t="n"/>
      <c r="I23" s="44">
        <f>IFERROR(EDATE(F23,H23),"")</f>
        <v/>
      </c>
      <c r="J23" s="47" t="n"/>
      <c r="K23" s="40" t="n"/>
      <c r="L23" s="40" t="n"/>
      <c r="M23" s="40" t="n"/>
      <c r="N23" s="40" t="n"/>
      <c r="O23" s="40">
        <f>IF($B23="","",IFERROR(INDEX('CHUYÊN CẦN'!$C$3:$N$202,MATCH($A23,'CHUYÊN CẦN'!$A$3:$A$202,0),MONTH(TODAY())),0))</f>
        <v/>
      </c>
      <c r="P23" s="44">
        <f>IF($B23="","",IF(SUMPRODUCT(MAX(('NHẬT KÝ CSKH'!$B$3:$B$1000=$A23)*'NHẬT KÝ CSKH'!$A$3:$A$1000))=0,"",SUMPRODUCT(MAX(('NHẬT KÝ CSKH'!$B$3:$B$1000=$A23)*'NHẬT KÝ CSKH'!$A$3:$A$1000))))</f>
        <v/>
      </c>
      <c r="Q23" s="40">
        <f>IF($B23="","",IF($I23="","",$I23-TODAY()))</f>
        <v/>
      </c>
      <c r="R23" s="40">
        <f>IF($B23="","",IF($O23&gt;=3,2,0)+IF($K23="Còn nợ",2,0)+IF(AND($N23="Đang học",$Q23&lt;&gt;"",$Q23&gt;=0,$Q23&lt;=30),1,0)+IF($P23="",1,IF(TODAY()-$P23&gt;60,1,0)))</f>
        <v/>
      </c>
      <c r="S23" s="40">
        <f>IF($B23="","",IF($R23&gt;=3,"CAO",IF($R23&gt;=1,"TRUNG BÌNH","THẤP")))</f>
        <v/>
      </c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40" t="n"/>
      <c r="AC23" s="40" t="n"/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  <c r="AO23" s="40" t="n"/>
      <c r="AP23" s="40" t="n"/>
      <c r="AQ23" s="40" t="n"/>
    </row>
    <row r="24">
      <c r="A24" s="40" t="inlineStr">
        <is>
          <t>ORI021</t>
        </is>
      </c>
      <c r="B24" s="46" t="n"/>
      <c r="C24" s="40" t="n"/>
      <c r="D24" s="40" t="n"/>
      <c r="E24" s="40" t="n"/>
      <c r="F24" s="44" t="n"/>
      <c r="G24" s="40" t="n"/>
      <c r="H24" s="40" t="n"/>
      <c r="I24" s="44">
        <f>IFERROR(EDATE(F24,H24),"")</f>
        <v/>
      </c>
      <c r="J24" s="47" t="n"/>
      <c r="K24" s="40" t="n"/>
      <c r="L24" s="40" t="n"/>
      <c r="M24" s="40" t="n"/>
      <c r="N24" s="40" t="n"/>
      <c r="O24" s="40">
        <f>IF($B24="","",IFERROR(INDEX('CHUYÊN CẦN'!$C$3:$N$202,MATCH($A24,'CHUYÊN CẦN'!$A$3:$A$202,0),MONTH(TODAY())),0))</f>
        <v/>
      </c>
      <c r="P24" s="44">
        <f>IF($B24="","",IF(SUMPRODUCT(MAX(('NHẬT KÝ CSKH'!$B$3:$B$1000=$A24)*'NHẬT KÝ CSKH'!$A$3:$A$1000))=0,"",SUMPRODUCT(MAX(('NHẬT KÝ CSKH'!$B$3:$B$1000=$A24)*'NHẬT KÝ CSKH'!$A$3:$A$1000))))</f>
        <v/>
      </c>
      <c r="Q24" s="40">
        <f>IF($B24="","",IF($I24="","",$I24-TODAY()))</f>
        <v/>
      </c>
      <c r="R24" s="40">
        <f>IF($B24="","",IF($O24&gt;=3,2,0)+IF($K24="Còn nợ",2,0)+IF(AND($N24="Đang học",$Q24&lt;&gt;"",$Q24&gt;=0,$Q24&lt;=30),1,0)+IF($P24="",1,IF(TODAY()-$P24&gt;60,1,0)))</f>
        <v/>
      </c>
      <c r="S24" s="40">
        <f>IF($B24="","",IF($R24&gt;=3,"CAO",IF($R24&gt;=1,"TRUNG BÌNH","THẤP")))</f>
        <v/>
      </c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</row>
    <row r="25">
      <c r="A25" s="40" t="inlineStr">
        <is>
          <t>ORI022</t>
        </is>
      </c>
      <c r="B25" s="46" t="n"/>
      <c r="C25" s="40" t="n"/>
      <c r="D25" s="40" t="n"/>
      <c r="E25" s="40" t="n"/>
      <c r="F25" s="44" t="n"/>
      <c r="G25" s="40" t="n"/>
      <c r="H25" s="40" t="n"/>
      <c r="I25" s="44">
        <f>IFERROR(EDATE(F25,H25),"")</f>
        <v/>
      </c>
      <c r="J25" s="47" t="n"/>
      <c r="K25" s="40" t="n"/>
      <c r="L25" s="40" t="n"/>
      <c r="M25" s="40" t="n"/>
      <c r="N25" s="40" t="n"/>
      <c r="O25" s="40">
        <f>IF($B25="","",IFERROR(INDEX('CHUYÊN CẦN'!$C$3:$N$202,MATCH($A25,'CHUYÊN CẦN'!$A$3:$A$202,0),MONTH(TODAY())),0))</f>
        <v/>
      </c>
      <c r="P25" s="44">
        <f>IF($B25="","",IF(SUMPRODUCT(MAX(('NHẬT KÝ CSKH'!$B$3:$B$1000=$A25)*'NHẬT KÝ CSKH'!$A$3:$A$1000))=0,"",SUMPRODUCT(MAX(('NHẬT KÝ CSKH'!$B$3:$B$1000=$A25)*'NHẬT KÝ CSKH'!$A$3:$A$1000))))</f>
        <v/>
      </c>
      <c r="Q25" s="40">
        <f>IF($B25="","",IF($I25="","",$I25-TODAY()))</f>
        <v/>
      </c>
      <c r="R25" s="40">
        <f>IF($B25="","",IF($O25&gt;=3,2,0)+IF($K25="Còn nợ",2,0)+IF(AND($N25="Đang học",$Q25&lt;&gt;"",$Q25&gt;=0,$Q25&lt;=30),1,0)+IF($P25="",1,IF(TODAY()-$P25&gt;60,1,0)))</f>
        <v/>
      </c>
      <c r="S25" s="40">
        <f>IF($B25="","",IF($R25&gt;=3,"CAO",IF($R25&gt;=1,"TRUNG BÌNH","THẤP")))</f>
        <v/>
      </c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40" t="n"/>
      <c r="AC25" s="40" t="n"/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  <c r="AO25" s="40" t="n"/>
      <c r="AP25" s="40" t="n"/>
      <c r="AQ25" s="40" t="n"/>
    </row>
    <row r="26">
      <c r="A26" s="40" t="inlineStr">
        <is>
          <t>ORI023</t>
        </is>
      </c>
      <c r="B26" s="46" t="n"/>
      <c r="C26" s="40" t="n"/>
      <c r="D26" s="40" t="n"/>
      <c r="E26" s="40" t="n"/>
      <c r="F26" s="44" t="n"/>
      <c r="G26" s="40" t="n"/>
      <c r="H26" s="40" t="n"/>
      <c r="I26" s="44">
        <f>IFERROR(EDATE(F26,H26),"")</f>
        <v/>
      </c>
      <c r="J26" s="47" t="n"/>
      <c r="K26" s="40" t="n"/>
      <c r="L26" s="40" t="n"/>
      <c r="M26" s="40" t="n"/>
      <c r="N26" s="40" t="n"/>
      <c r="O26" s="40">
        <f>IF($B26="","",IFERROR(INDEX('CHUYÊN CẦN'!$C$3:$N$202,MATCH($A26,'CHUYÊN CẦN'!$A$3:$A$202,0),MONTH(TODAY())),0))</f>
        <v/>
      </c>
      <c r="P26" s="44">
        <f>IF($B26="","",IF(SUMPRODUCT(MAX(('NHẬT KÝ CSKH'!$B$3:$B$1000=$A26)*'NHẬT KÝ CSKH'!$A$3:$A$1000))=0,"",SUMPRODUCT(MAX(('NHẬT KÝ CSKH'!$B$3:$B$1000=$A26)*'NHẬT KÝ CSKH'!$A$3:$A$1000))))</f>
        <v/>
      </c>
      <c r="Q26" s="40">
        <f>IF($B26="","",IF($I26="","",$I26-TODAY()))</f>
        <v/>
      </c>
      <c r="R26" s="40">
        <f>IF($B26="","",IF($O26&gt;=3,2,0)+IF($K26="Còn nợ",2,0)+IF(AND($N26="Đang học",$Q26&lt;&gt;"",$Q26&gt;=0,$Q26&lt;=30),1,0)+IF($P26="",1,IF(TODAY()-$P26&gt;60,1,0)))</f>
        <v/>
      </c>
      <c r="S26" s="40">
        <f>IF($B26="","",IF($R26&gt;=3,"CAO",IF($R26&gt;=1,"TRUNG BÌNH","THẤP")))</f>
        <v/>
      </c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</row>
    <row r="27">
      <c r="A27" s="40" t="inlineStr">
        <is>
          <t>ORI024</t>
        </is>
      </c>
      <c r="B27" s="46" t="n"/>
      <c r="C27" s="40" t="n"/>
      <c r="D27" s="40" t="n"/>
      <c r="E27" s="40" t="n"/>
      <c r="F27" s="44" t="n"/>
      <c r="G27" s="40" t="n"/>
      <c r="H27" s="40" t="n"/>
      <c r="I27" s="44">
        <f>IFERROR(EDATE(F27,H27),"")</f>
        <v/>
      </c>
      <c r="J27" s="47" t="n"/>
      <c r="K27" s="40" t="n"/>
      <c r="L27" s="40" t="n"/>
      <c r="M27" s="40" t="n"/>
      <c r="N27" s="40" t="n"/>
      <c r="O27" s="40">
        <f>IF($B27="","",IFERROR(INDEX('CHUYÊN CẦN'!$C$3:$N$202,MATCH($A27,'CHUYÊN CẦN'!$A$3:$A$202,0),MONTH(TODAY())),0))</f>
        <v/>
      </c>
      <c r="P27" s="44">
        <f>IF($B27="","",IF(SUMPRODUCT(MAX(('NHẬT KÝ CSKH'!$B$3:$B$1000=$A27)*'NHẬT KÝ CSKH'!$A$3:$A$1000))=0,"",SUMPRODUCT(MAX(('NHẬT KÝ CSKH'!$B$3:$B$1000=$A27)*'NHẬT KÝ CSKH'!$A$3:$A$1000))))</f>
        <v/>
      </c>
      <c r="Q27" s="40">
        <f>IF($B27="","",IF($I27="","",$I27-TODAY()))</f>
        <v/>
      </c>
      <c r="R27" s="40">
        <f>IF($B27="","",IF($O27&gt;=3,2,0)+IF($K27="Còn nợ",2,0)+IF(AND($N27="Đang học",$Q27&lt;&gt;"",$Q27&gt;=0,$Q27&lt;=30),1,0)+IF($P27="",1,IF(TODAY()-$P27&gt;60,1,0)))</f>
        <v/>
      </c>
      <c r="S27" s="40">
        <f>IF($B27="","",IF($R27&gt;=3,"CAO",IF($R27&gt;=1,"TRUNG BÌNH","THẤP")))</f>
        <v/>
      </c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40" t="n"/>
      <c r="AC27" s="40" t="n"/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  <c r="AO27" s="40" t="n"/>
      <c r="AP27" s="40" t="n"/>
      <c r="AQ27" s="40" t="n"/>
    </row>
    <row r="28">
      <c r="A28" s="40" t="inlineStr">
        <is>
          <t>ORI025</t>
        </is>
      </c>
      <c r="B28" s="46" t="n"/>
      <c r="C28" s="40" t="n"/>
      <c r="D28" s="40" t="n"/>
      <c r="E28" s="40" t="n"/>
      <c r="F28" s="44" t="n"/>
      <c r="G28" s="40" t="n"/>
      <c r="H28" s="40" t="n"/>
      <c r="I28" s="44">
        <f>IFERROR(EDATE(F28,H28),"")</f>
        <v/>
      </c>
      <c r="J28" s="47" t="n"/>
      <c r="K28" s="40" t="n"/>
      <c r="L28" s="40" t="n"/>
      <c r="M28" s="40" t="n"/>
      <c r="N28" s="40" t="n"/>
      <c r="O28" s="40">
        <f>IF($B28="","",IFERROR(INDEX('CHUYÊN CẦN'!$C$3:$N$202,MATCH($A28,'CHUYÊN CẦN'!$A$3:$A$202,0),MONTH(TODAY())),0))</f>
        <v/>
      </c>
      <c r="P28" s="44">
        <f>IF($B28="","",IF(SUMPRODUCT(MAX(('NHẬT KÝ CSKH'!$B$3:$B$1000=$A28)*'NHẬT KÝ CSKH'!$A$3:$A$1000))=0,"",SUMPRODUCT(MAX(('NHẬT KÝ CSKH'!$B$3:$B$1000=$A28)*'NHẬT KÝ CSKH'!$A$3:$A$1000))))</f>
        <v/>
      </c>
      <c r="Q28" s="40">
        <f>IF($B28="","",IF($I28="","",$I28-TODAY()))</f>
        <v/>
      </c>
      <c r="R28" s="40">
        <f>IF($B28="","",IF($O28&gt;=3,2,0)+IF($K28="Còn nợ",2,0)+IF(AND($N28="Đang học",$Q28&lt;&gt;"",$Q28&gt;=0,$Q28&lt;=30),1,0)+IF($P28="",1,IF(TODAY()-$P28&gt;60,1,0)))</f>
        <v/>
      </c>
      <c r="S28" s="40">
        <f>IF($B28="","",IF($R28&gt;=3,"CAO",IF($R28&gt;=1,"TRUNG BÌNH","THẤP")))</f>
        <v/>
      </c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</row>
    <row r="29">
      <c r="A29" s="40" t="inlineStr">
        <is>
          <t>ORI026</t>
        </is>
      </c>
      <c r="B29" s="46" t="n"/>
      <c r="C29" s="40" t="n"/>
      <c r="D29" s="40" t="n"/>
      <c r="E29" s="40" t="n"/>
      <c r="F29" s="44" t="n"/>
      <c r="G29" s="40" t="n"/>
      <c r="H29" s="40" t="n"/>
      <c r="I29" s="44">
        <f>IFERROR(EDATE(F29,H29),"")</f>
        <v/>
      </c>
      <c r="J29" s="47" t="n"/>
      <c r="K29" s="40" t="n"/>
      <c r="L29" s="40" t="n"/>
      <c r="M29" s="40" t="n"/>
      <c r="N29" s="40" t="n"/>
      <c r="O29" s="40">
        <f>IF($B29="","",IFERROR(INDEX('CHUYÊN CẦN'!$C$3:$N$202,MATCH($A29,'CHUYÊN CẦN'!$A$3:$A$202,0),MONTH(TODAY())),0))</f>
        <v/>
      </c>
      <c r="P29" s="44">
        <f>IF($B29="","",IF(SUMPRODUCT(MAX(('NHẬT KÝ CSKH'!$B$3:$B$1000=$A29)*'NHẬT KÝ CSKH'!$A$3:$A$1000))=0,"",SUMPRODUCT(MAX(('NHẬT KÝ CSKH'!$B$3:$B$1000=$A29)*'NHẬT KÝ CSKH'!$A$3:$A$1000))))</f>
        <v/>
      </c>
      <c r="Q29" s="40">
        <f>IF($B29="","",IF($I29="","",$I29-TODAY()))</f>
        <v/>
      </c>
      <c r="R29" s="40">
        <f>IF($B29="","",IF($O29&gt;=3,2,0)+IF($K29="Còn nợ",2,0)+IF(AND($N29="Đang học",$Q29&lt;&gt;"",$Q29&gt;=0,$Q29&lt;=30),1,0)+IF($P29="",1,IF(TODAY()-$P29&gt;60,1,0)))</f>
        <v/>
      </c>
      <c r="S29" s="40">
        <f>IF($B29="","",IF($R29&gt;=3,"CAO",IF($R29&gt;=1,"TRUNG BÌNH","THẤP")))</f>
        <v/>
      </c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  <c r="AO29" s="40" t="n"/>
      <c r="AP29" s="40" t="n"/>
      <c r="AQ29" s="40" t="n"/>
    </row>
    <row r="30">
      <c r="A30" s="40" t="inlineStr">
        <is>
          <t>ORI027</t>
        </is>
      </c>
      <c r="B30" s="46" t="n"/>
      <c r="C30" s="40" t="n"/>
      <c r="D30" s="40" t="n"/>
      <c r="E30" s="40" t="n"/>
      <c r="F30" s="44" t="n"/>
      <c r="G30" s="40" t="n"/>
      <c r="H30" s="40" t="n"/>
      <c r="I30" s="44">
        <f>IFERROR(EDATE(F30,H30),"")</f>
        <v/>
      </c>
      <c r="J30" s="47" t="n"/>
      <c r="K30" s="40" t="n"/>
      <c r="L30" s="40" t="n"/>
      <c r="M30" s="40" t="n"/>
      <c r="N30" s="40" t="n"/>
      <c r="O30" s="40">
        <f>IF($B30="","",IFERROR(INDEX('CHUYÊN CẦN'!$C$3:$N$202,MATCH($A30,'CHUYÊN CẦN'!$A$3:$A$202,0),MONTH(TODAY())),0))</f>
        <v/>
      </c>
      <c r="P30" s="44">
        <f>IF($B30="","",IF(SUMPRODUCT(MAX(('NHẬT KÝ CSKH'!$B$3:$B$1000=$A30)*'NHẬT KÝ CSKH'!$A$3:$A$1000))=0,"",SUMPRODUCT(MAX(('NHẬT KÝ CSKH'!$B$3:$B$1000=$A30)*'NHẬT KÝ CSKH'!$A$3:$A$1000))))</f>
        <v/>
      </c>
      <c r="Q30" s="40">
        <f>IF($B30="","",IF($I30="","",$I30-TODAY()))</f>
        <v/>
      </c>
      <c r="R30" s="40">
        <f>IF($B30="","",IF($O30&gt;=3,2,0)+IF($K30="Còn nợ",2,0)+IF(AND($N30="Đang học",$Q30&lt;&gt;"",$Q30&gt;=0,$Q30&lt;=30),1,0)+IF($P30="",1,IF(TODAY()-$P30&gt;60,1,0)))</f>
        <v/>
      </c>
      <c r="S30" s="40">
        <f>IF($B30="","",IF($R30&gt;=3,"CAO",IF($R30&gt;=1,"TRUNG BÌNH","THẤP")))</f>
        <v/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</row>
    <row r="31">
      <c r="A31" s="40" t="inlineStr">
        <is>
          <t>ORI028</t>
        </is>
      </c>
      <c r="B31" s="46" t="n"/>
      <c r="C31" s="40" t="n"/>
      <c r="D31" s="40" t="n"/>
      <c r="E31" s="40" t="n"/>
      <c r="F31" s="44" t="n"/>
      <c r="G31" s="40" t="n"/>
      <c r="H31" s="40" t="n"/>
      <c r="I31" s="44">
        <f>IFERROR(EDATE(F31,H31),"")</f>
        <v/>
      </c>
      <c r="J31" s="47" t="n"/>
      <c r="K31" s="40" t="n"/>
      <c r="L31" s="40" t="n"/>
      <c r="M31" s="40" t="n"/>
      <c r="N31" s="40" t="n"/>
      <c r="O31" s="40">
        <f>IF($B31="","",IFERROR(INDEX('CHUYÊN CẦN'!$C$3:$N$202,MATCH($A31,'CHUYÊN CẦN'!$A$3:$A$202,0),MONTH(TODAY())),0))</f>
        <v/>
      </c>
      <c r="P31" s="44">
        <f>IF($B31="","",IF(SUMPRODUCT(MAX(('NHẬT KÝ CSKH'!$B$3:$B$1000=$A31)*'NHẬT KÝ CSKH'!$A$3:$A$1000))=0,"",SUMPRODUCT(MAX(('NHẬT KÝ CSKH'!$B$3:$B$1000=$A31)*'NHẬT KÝ CSKH'!$A$3:$A$1000))))</f>
        <v/>
      </c>
      <c r="Q31" s="40">
        <f>IF($B31="","",IF($I31="","",$I31-TODAY()))</f>
        <v/>
      </c>
      <c r="R31" s="40">
        <f>IF($B31="","",IF($O31&gt;=3,2,0)+IF($K31="Còn nợ",2,0)+IF(AND($N31="Đang học",$Q31&lt;&gt;"",$Q31&gt;=0,$Q31&lt;=30),1,0)+IF($P31="",1,IF(TODAY()-$P31&gt;60,1,0)))</f>
        <v/>
      </c>
      <c r="S31" s="40">
        <f>IF($B31="","",IF($R31&gt;=3,"CAO",IF($R31&gt;=1,"TRUNG BÌNH","THẤP")))</f>
        <v/>
      </c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  <c r="AO31" s="40" t="n"/>
      <c r="AP31" s="40" t="n"/>
      <c r="AQ31" s="40" t="n"/>
    </row>
    <row r="32">
      <c r="A32" s="40" t="inlineStr">
        <is>
          <t>ORI029</t>
        </is>
      </c>
      <c r="B32" s="46" t="n"/>
      <c r="C32" s="40" t="n"/>
      <c r="D32" s="40" t="n"/>
      <c r="E32" s="40" t="n"/>
      <c r="F32" s="44" t="n"/>
      <c r="G32" s="40" t="n"/>
      <c r="H32" s="40" t="n"/>
      <c r="I32" s="44">
        <f>IFERROR(EDATE(F32,H32),"")</f>
        <v/>
      </c>
      <c r="J32" s="47" t="n"/>
      <c r="K32" s="40" t="n"/>
      <c r="L32" s="40" t="n"/>
      <c r="M32" s="40" t="n"/>
      <c r="N32" s="40" t="n"/>
      <c r="O32" s="40">
        <f>IF($B32="","",IFERROR(INDEX('CHUYÊN CẦN'!$C$3:$N$202,MATCH($A32,'CHUYÊN CẦN'!$A$3:$A$202,0),MONTH(TODAY())),0))</f>
        <v/>
      </c>
      <c r="P32" s="44">
        <f>IF($B32="","",IF(SUMPRODUCT(MAX(('NHẬT KÝ CSKH'!$B$3:$B$1000=$A32)*'NHẬT KÝ CSKH'!$A$3:$A$1000))=0,"",SUMPRODUCT(MAX(('NHẬT KÝ CSKH'!$B$3:$B$1000=$A32)*'NHẬT KÝ CSKH'!$A$3:$A$1000))))</f>
        <v/>
      </c>
      <c r="Q32" s="40">
        <f>IF($B32="","",IF($I32="","",$I32-TODAY()))</f>
        <v/>
      </c>
      <c r="R32" s="40">
        <f>IF($B32="","",IF($O32&gt;=3,2,0)+IF($K32="Còn nợ",2,0)+IF(AND($N32="Đang học",$Q32&lt;&gt;"",$Q32&gt;=0,$Q32&lt;=30),1,0)+IF($P32="",1,IF(TODAY()-$P32&gt;60,1,0)))</f>
        <v/>
      </c>
      <c r="S32" s="40">
        <f>IF($B32="","",IF($R32&gt;=3,"CAO",IF($R32&gt;=1,"TRUNG BÌNH","THẤP")))</f>
        <v/>
      </c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</row>
    <row r="33">
      <c r="A33" s="40" t="inlineStr">
        <is>
          <t>ORI030</t>
        </is>
      </c>
      <c r="B33" s="46" t="n"/>
      <c r="C33" s="40" t="n"/>
      <c r="D33" s="40" t="n"/>
      <c r="E33" s="40" t="n"/>
      <c r="F33" s="44" t="n"/>
      <c r="G33" s="40" t="n"/>
      <c r="H33" s="40" t="n"/>
      <c r="I33" s="44">
        <f>IFERROR(EDATE(F33,H33),"")</f>
        <v/>
      </c>
      <c r="J33" s="47" t="n"/>
      <c r="K33" s="40" t="n"/>
      <c r="L33" s="40" t="n"/>
      <c r="M33" s="40" t="n"/>
      <c r="N33" s="40" t="n"/>
      <c r="O33" s="40">
        <f>IF($B33="","",IFERROR(INDEX('CHUYÊN CẦN'!$C$3:$N$202,MATCH($A33,'CHUYÊN CẦN'!$A$3:$A$202,0),MONTH(TODAY())),0))</f>
        <v/>
      </c>
      <c r="P33" s="44">
        <f>IF($B33="","",IF(SUMPRODUCT(MAX(('NHẬT KÝ CSKH'!$B$3:$B$1000=$A33)*'NHẬT KÝ CSKH'!$A$3:$A$1000))=0,"",SUMPRODUCT(MAX(('NHẬT KÝ CSKH'!$B$3:$B$1000=$A33)*'NHẬT KÝ CSKH'!$A$3:$A$1000))))</f>
        <v/>
      </c>
      <c r="Q33" s="40">
        <f>IF($B33="","",IF($I33="","",$I33-TODAY()))</f>
        <v/>
      </c>
      <c r="R33" s="40">
        <f>IF($B33="","",IF($O33&gt;=3,2,0)+IF($K33="Còn nợ",2,0)+IF(AND($N33="Đang học",$Q33&lt;&gt;"",$Q33&gt;=0,$Q33&lt;=30),1,0)+IF($P33="",1,IF(TODAY()-$P33&gt;60,1,0)))</f>
        <v/>
      </c>
      <c r="S33" s="40">
        <f>IF($B33="","",IF($R33&gt;=3,"CAO",IF($R33&gt;=1,"TRUNG BÌNH","THẤP")))</f>
        <v/>
      </c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  <c r="AO33" s="40" t="n"/>
      <c r="AP33" s="40" t="n"/>
      <c r="AQ33" s="40" t="n"/>
    </row>
    <row r="34">
      <c r="A34" s="40" t="inlineStr">
        <is>
          <t>ORI031</t>
        </is>
      </c>
      <c r="B34" s="46" t="n"/>
      <c r="C34" s="40" t="n"/>
      <c r="D34" s="40" t="n"/>
      <c r="E34" s="40" t="n"/>
      <c r="F34" s="44" t="n"/>
      <c r="G34" s="40" t="n"/>
      <c r="H34" s="40" t="n"/>
      <c r="I34" s="44">
        <f>IFERROR(EDATE(F34,H34),"")</f>
        <v/>
      </c>
      <c r="J34" s="47" t="n"/>
      <c r="K34" s="40" t="n"/>
      <c r="L34" s="40" t="n"/>
      <c r="M34" s="40" t="n"/>
      <c r="N34" s="40" t="n"/>
      <c r="O34" s="40">
        <f>IF($B34="","",IFERROR(INDEX('CHUYÊN CẦN'!$C$3:$N$202,MATCH($A34,'CHUYÊN CẦN'!$A$3:$A$202,0),MONTH(TODAY())),0))</f>
        <v/>
      </c>
      <c r="P34" s="44">
        <f>IF($B34="","",IF(SUMPRODUCT(MAX(('NHẬT KÝ CSKH'!$B$3:$B$1000=$A34)*'NHẬT KÝ CSKH'!$A$3:$A$1000))=0,"",SUMPRODUCT(MAX(('NHẬT KÝ CSKH'!$B$3:$B$1000=$A34)*'NHẬT KÝ CSKH'!$A$3:$A$1000))))</f>
        <v/>
      </c>
      <c r="Q34" s="40">
        <f>IF($B34="","",IF($I34="","",$I34-TODAY()))</f>
        <v/>
      </c>
      <c r="R34" s="40">
        <f>IF($B34="","",IF($O34&gt;=3,2,0)+IF($K34="Còn nợ",2,0)+IF(AND($N34="Đang học",$Q34&lt;&gt;"",$Q34&gt;=0,$Q34&lt;=30),1,0)+IF($P34="",1,IF(TODAY()-$P34&gt;60,1,0)))</f>
        <v/>
      </c>
      <c r="S34" s="40">
        <f>IF($B34="","",IF($R34&gt;=3,"CAO",IF($R34&gt;=1,"TRUNG BÌNH","THẤP")))</f>
        <v/>
      </c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  <c r="AO34" s="40" t="n"/>
      <c r="AP34" s="40" t="n"/>
      <c r="AQ34" s="40" t="n"/>
    </row>
    <row r="35">
      <c r="A35" s="40" t="inlineStr">
        <is>
          <t>ORI032</t>
        </is>
      </c>
      <c r="B35" s="46" t="n"/>
      <c r="C35" s="40" t="n"/>
      <c r="D35" s="40" t="n"/>
      <c r="E35" s="40" t="n"/>
      <c r="F35" s="44" t="n"/>
      <c r="G35" s="40" t="n"/>
      <c r="H35" s="40" t="n"/>
      <c r="I35" s="44">
        <f>IFERROR(EDATE(F35,H35),"")</f>
        <v/>
      </c>
      <c r="J35" s="47" t="n"/>
      <c r="K35" s="40" t="n"/>
      <c r="L35" s="40" t="n"/>
      <c r="M35" s="40" t="n"/>
      <c r="N35" s="40" t="n"/>
      <c r="O35" s="40">
        <f>IF($B35="","",IFERROR(INDEX('CHUYÊN CẦN'!$C$3:$N$202,MATCH($A35,'CHUYÊN CẦN'!$A$3:$A$202,0),MONTH(TODAY())),0))</f>
        <v/>
      </c>
      <c r="P35" s="44">
        <f>IF($B35="","",IF(SUMPRODUCT(MAX(('NHẬT KÝ CSKH'!$B$3:$B$1000=$A35)*'NHẬT KÝ CSKH'!$A$3:$A$1000))=0,"",SUMPRODUCT(MAX(('NHẬT KÝ CSKH'!$B$3:$B$1000=$A35)*'NHẬT KÝ CSKH'!$A$3:$A$1000))))</f>
        <v/>
      </c>
      <c r="Q35" s="40">
        <f>IF($B35="","",IF($I35="","",$I35-TODAY()))</f>
        <v/>
      </c>
      <c r="R35" s="40">
        <f>IF($B35="","",IF($O35&gt;=3,2,0)+IF($K35="Còn nợ",2,0)+IF(AND($N35="Đang học",$Q35&lt;&gt;"",$Q35&gt;=0,$Q35&lt;=30),1,0)+IF($P35="",1,IF(TODAY()-$P35&gt;60,1,0)))</f>
        <v/>
      </c>
      <c r="S35" s="40">
        <f>IF($B35="","",IF($R35&gt;=3,"CAO",IF($R35&gt;=1,"TRUNG BÌNH","THẤP")))</f>
        <v/>
      </c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  <c r="AO35" s="40" t="n"/>
      <c r="AP35" s="40" t="n"/>
      <c r="AQ35" s="40" t="n"/>
    </row>
    <row r="36">
      <c r="A36" s="40" t="inlineStr">
        <is>
          <t>ORI033</t>
        </is>
      </c>
      <c r="B36" s="46" t="n"/>
      <c r="C36" s="40" t="n"/>
      <c r="D36" s="40" t="n"/>
      <c r="E36" s="40" t="n"/>
      <c r="F36" s="44" t="n"/>
      <c r="G36" s="40" t="n"/>
      <c r="H36" s="40" t="n"/>
      <c r="I36" s="44">
        <f>IFERROR(EDATE(F36,H36),"")</f>
        <v/>
      </c>
      <c r="J36" s="47" t="n"/>
      <c r="K36" s="40" t="n"/>
      <c r="L36" s="40" t="n"/>
      <c r="M36" s="40" t="n"/>
      <c r="N36" s="40" t="n"/>
      <c r="O36" s="40">
        <f>IF($B36="","",IFERROR(INDEX('CHUYÊN CẦN'!$C$3:$N$202,MATCH($A36,'CHUYÊN CẦN'!$A$3:$A$202,0),MONTH(TODAY())),0))</f>
        <v/>
      </c>
      <c r="P36" s="44">
        <f>IF($B36="","",IF(SUMPRODUCT(MAX(('NHẬT KÝ CSKH'!$B$3:$B$1000=$A36)*'NHẬT KÝ CSKH'!$A$3:$A$1000))=0,"",SUMPRODUCT(MAX(('NHẬT KÝ CSKH'!$B$3:$B$1000=$A36)*'NHẬT KÝ CSKH'!$A$3:$A$1000))))</f>
        <v/>
      </c>
      <c r="Q36" s="40">
        <f>IF($B36="","",IF($I36="","",$I36-TODAY()))</f>
        <v/>
      </c>
      <c r="R36" s="40">
        <f>IF($B36="","",IF($O36&gt;=3,2,0)+IF($K36="Còn nợ",2,0)+IF(AND($N36="Đang học",$Q36&lt;&gt;"",$Q36&gt;=0,$Q36&lt;=30),1,0)+IF($P36="",1,IF(TODAY()-$P36&gt;60,1,0)))</f>
        <v/>
      </c>
      <c r="S36" s="40">
        <f>IF($B36="","",IF($R36&gt;=3,"CAO",IF($R36&gt;=1,"TRUNG BÌNH","THẤP")))</f>
        <v/>
      </c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</row>
    <row r="37">
      <c r="A37" s="40" t="inlineStr">
        <is>
          <t>ORI034</t>
        </is>
      </c>
      <c r="B37" s="46" t="n"/>
      <c r="C37" s="40" t="n"/>
      <c r="D37" s="40" t="n"/>
      <c r="E37" s="40" t="n"/>
      <c r="F37" s="44" t="n"/>
      <c r="G37" s="40" t="n"/>
      <c r="H37" s="40" t="n"/>
      <c r="I37" s="44">
        <f>IFERROR(EDATE(F37,H37),"")</f>
        <v/>
      </c>
      <c r="J37" s="47" t="n"/>
      <c r="K37" s="40" t="n"/>
      <c r="L37" s="40" t="n"/>
      <c r="M37" s="40" t="n"/>
      <c r="N37" s="40" t="n"/>
      <c r="O37" s="40">
        <f>IF($B37="","",IFERROR(INDEX('CHUYÊN CẦN'!$C$3:$N$202,MATCH($A37,'CHUYÊN CẦN'!$A$3:$A$202,0),MONTH(TODAY())),0))</f>
        <v/>
      </c>
      <c r="P37" s="44">
        <f>IF($B37="","",IF(SUMPRODUCT(MAX(('NHẬT KÝ CSKH'!$B$3:$B$1000=$A37)*'NHẬT KÝ CSKH'!$A$3:$A$1000))=0,"",SUMPRODUCT(MAX(('NHẬT KÝ CSKH'!$B$3:$B$1000=$A37)*'NHẬT KÝ CSKH'!$A$3:$A$1000))))</f>
        <v/>
      </c>
      <c r="Q37" s="40">
        <f>IF($B37="","",IF($I37="","",$I37-TODAY()))</f>
        <v/>
      </c>
      <c r="R37" s="40">
        <f>IF($B37="","",IF($O37&gt;=3,2,0)+IF($K37="Còn nợ",2,0)+IF(AND($N37="Đang học",$Q37&lt;&gt;"",$Q37&gt;=0,$Q37&lt;=30),1,0)+IF($P37="",1,IF(TODAY()-$P37&gt;60,1,0)))</f>
        <v/>
      </c>
      <c r="S37" s="40">
        <f>IF($B37="","",IF($R37&gt;=3,"CAO",IF($R37&gt;=1,"TRUNG BÌNH","THẤP")))</f>
        <v/>
      </c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  <c r="AO37" s="40" t="n"/>
      <c r="AP37" s="40" t="n"/>
      <c r="AQ37" s="40" t="n"/>
    </row>
    <row r="38">
      <c r="A38" s="40" t="inlineStr">
        <is>
          <t>ORI035</t>
        </is>
      </c>
      <c r="B38" s="46" t="n"/>
      <c r="C38" s="40" t="n"/>
      <c r="D38" s="40" t="n"/>
      <c r="E38" s="40" t="n"/>
      <c r="F38" s="44" t="n"/>
      <c r="G38" s="40" t="n"/>
      <c r="H38" s="40" t="n"/>
      <c r="I38" s="44">
        <f>IFERROR(EDATE(F38,H38),"")</f>
        <v/>
      </c>
      <c r="J38" s="47" t="n"/>
      <c r="K38" s="40" t="n"/>
      <c r="L38" s="40" t="n"/>
      <c r="M38" s="40" t="n"/>
      <c r="N38" s="40" t="n"/>
      <c r="O38" s="40">
        <f>IF($B38="","",IFERROR(INDEX('CHUYÊN CẦN'!$C$3:$N$202,MATCH($A38,'CHUYÊN CẦN'!$A$3:$A$202,0),MONTH(TODAY())),0))</f>
        <v/>
      </c>
      <c r="P38" s="44">
        <f>IF($B38="","",IF(SUMPRODUCT(MAX(('NHẬT KÝ CSKH'!$B$3:$B$1000=$A38)*'NHẬT KÝ CSKH'!$A$3:$A$1000))=0,"",SUMPRODUCT(MAX(('NHẬT KÝ CSKH'!$B$3:$B$1000=$A38)*'NHẬT KÝ CSKH'!$A$3:$A$1000))))</f>
        <v/>
      </c>
      <c r="Q38" s="40">
        <f>IF($B38="","",IF($I38="","",$I38-TODAY()))</f>
        <v/>
      </c>
      <c r="R38" s="40">
        <f>IF($B38="","",IF($O38&gt;=3,2,0)+IF($K38="Còn nợ",2,0)+IF(AND($N38="Đang học",$Q38&lt;&gt;"",$Q38&gt;=0,$Q38&lt;=30),1,0)+IF($P38="",1,IF(TODAY()-$P38&gt;60,1,0)))</f>
        <v/>
      </c>
      <c r="S38" s="40">
        <f>IF($B38="","",IF($R38&gt;=3,"CAO",IF($R38&gt;=1,"TRUNG BÌNH","THẤP")))</f>
        <v/>
      </c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</row>
    <row r="39">
      <c r="A39" s="40" t="inlineStr">
        <is>
          <t>ORI036</t>
        </is>
      </c>
      <c r="B39" s="46" t="n"/>
      <c r="C39" s="40" t="n"/>
      <c r="D39" s="40" t="n"/>
      <c r="E39" s="40" t="n"/>
      <c r="F39" s="44" t="n"/>
      <c r="G39" s="40" t="n"/>
      <c r="H39" s="40" t="n"/>
      <c r="I39" s="44">
        <f>IFERROR(EDATE(F39,H39),"")</f>
        <v/>
      </c>
      <c r="J39" s="47" t="n"/>
      <c r="K39" s="40" t="n"/>
      <c r="L39" s="40" t="n"/>
      <c r="M39" s="40" t="n"/>
      <c r="N39" s="40" t="n"/>
      <c r="O39" s="40">
        <f>IF($B39="","",IFERROR(INDEX('CHUYÊN CẦN'!$C$3:$N$202,MATCH($A39,'CHUYÊN CẦN'!$A$3:$A$202,0),MONTH(TODAY())),0))</f>
        <v/>
      </c>
      <c r="P39" s="44">
        <f>IF($B39="","",IF(SUMPRODUCT(MAX(('NHẬT KÝ CSKH'!$B$3:$B$1000=$A39)*'NHẬT KÝ CSKH'!$A$3:$A$1000))=0,"",SUMPRODUCT(MAX(('NHẬT KÝ CSKH'!$B$3:$B$1000=$A39)*'NHẬT KÝ CSKH'!$A$3:$A$1000))))</f>
        <v/>
      </c>
      <c r="Q39" s="40">
        <f>IF($B39="","",IF($I39="","",$I39-TODAY()))</f>
        <v/>
      </c>
      <c r="R39" s="40">
        <f>IF($B39="","",IF($O39&gt;=3,2,0)+IF($K39="Còn nợ",2,0)+IF(AND($N39="Đang học",$Q39&lt;&gt;"",$Q39&gt;=0,$Q39&lt;=30),1,0)+IF($P39="",1,IF(TODAY()-$P39&gt;60,1,0)))</f>
        <v/>
      </c>
      <c r="S39" s="40">
        <f>IF($B39="","",IF($R39&gt;=3,"CAO",IF($R39&gt;=1,"TRUNG BÌNH","THẤP")))</f>
        <v/>
      </c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  <c r="AQ39" s="40" t="n"/>
    </row>
    <row r="40">
      <c r="A40" s="40" t="inlineStr">
        <is>
          <t>ORI037</t>
        </is>
      </c>
      <c r="B40" s="46" t="n"/>
      <c r="C40" s="40" t="n"/>
      <c r="D40" s="40" t="n"/>
      <c r="E40" s="40" t="n"/>
      <c r="F40" s="44" t="n"/>
      <c r="G40" s="40" t="n"/>
      <c r="H40" s="40" t="n"/>
      <c r="I40" s="44">
        <f>IFERROR(EDATE(F40,H40),"")</f>
        <v/>
      </c>
      <c r="J40" s="47" t="n"/>
      <c r="K40" s="40" t="n"/>
      <c r="L40" s="40" t="n"/>
      <c r="M40" s="40" t="n"/>
      <c r="N40" s="40" t="n"/>
      <c r="O40" s="40">
        <f>IF($B40="","",IFERROR(INDEX('CHUYÊN CẦN'!$C$3:$N$202,MATCH($A40,'CHUYÊN CẦN'!$A$3:$A$202,0),MONTH(TODAY())),0))</f>
        <v/>
      </c>
      <c r="P40" s="44">
        <f>IF($B40="","",IF(SUMPRODUCT(MAX(('NHẬT KÝ CSKH'!$B$3:$B$1000=$A40)*'NHẬT KÝ CSKH'!$A$3:$A$1000))=0,"",SUMPRODUCT(MAX(('NHẬT KÝ CSKH'!$B$3:$B$1000=$A40)*'NHẬT KÝ CSKH'!$A$3:$A$1000))))</f>
        <v/>
      </c>
      <c r="Q40" s="40">
        <f>IF($B40="","",IF($I40="","",$I40-TODAY()))</f>
        <v/>
      </c>
      <c r="R40" s="40">
        <f>IF($B40="","",IF($O40&gt;=3,2,0)+IF($K40="Còn nợ",2,0)+IF(AND($N40="Đang học",$Q40&lt;&gt;"",$Q40&gt;=0,$Q40&lt;=30),1,0)+IF($P40="",1,IF(TODAY()-$P40&gt;60,1,0)))</f>
        <v/>
      </c>
      <c r="S40" s="40">
        <f>IF($B40="","",IF($R40&gt;=3,"CAO",IF($R40&gt;=1,"TRUNG BÌNH","THẤP")))</f>
        <v/>
      </c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</row>
    <row r="41">
      <c r="A41" s="40" t="inlineStr">
        <is>
          <t>ORI038</t>
        </is>
      </c>
      <c r="B41" s="46" t="n"/>
      <c r="C41" s="40" t="n"/>
      <c r="D41" s="40" t="n"/>
      <c r="E41" s="40" t="n"/>
      <c r="F41" s="44" t="n"/>
      <c r="G41" s="40" t="n"/>
      <c r="H41" s="40" t="n"/>
      <c r="I41" s="44">
        <f>IFERROR(EDATE(F41,H41),"")</f>
        <v/>
      </c>
      <c r="J41" s="47" t="n"/>
      <c r="K41" s="40" t="n"/>
      <c r="L41" s="40" t="n"/>
      <c r="M41" s="40" t="n"/>
      <c r="N41" s="40" t="n"/>
      <c r="O41" s="40">
        <f>IF($B41="","",IFERROR(INDEX('CHUYÊN CẦN'!$C$3:$N$202,MATCH($A41,'CHUYÊN CẦN'!$A$3:$A$202,0),MONTH(TODAY())),0))</f>
        <v/>
      </c>
      <c r="P41" s="44">
        <f>IF($B41="","",IF(SUMPRODUCT(MAX(('NHẬT KÝ CSKH'!$B$3:$B$1000=$A41)*'NHẬT KÝ CSKH'!$A$3:$A$1000))=0,"",SUMPRODUCT(MAX(('NHẬT KÝ CSKH'!$B$3:$B$1000=$A41)*'NHẬT KÝ CSKH'!$A$3:$A$1000))))</f>
        <v/>
      </c>
      <c r="Q41" s="40">
        <f>IF($B41="","",IF($I41="","",$I41-TODAY()))</f>
        <v/>
      </c>
      <c r="R41" s="40">
        <f>IF($B41="","",IF($O41&gt;=3,2,0)+IF($K41="Còn nợ",2,0)+IF(AND($N41="Đang học",$Q41&lt;&gt;"",$Q41&gt;=0,$Q41&lt;=30),1,0)+IF($P41="",1,IF(TODAY()-$P41&gt;60,1,0)))</f>
        <v/>
      </c>
      <c r="S41" s="40">
        <f>IF($B41="","",IF($R41&gt;=3,"CAO",IF($R41&gt;=1,"TRUNG BÌNH","THẤP")))</f>
        <v/>
      </c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</row>
    <row r="42">
      <c r="A42" s="40" t="inlineStr">
        <is>
          <t>ORI039</t>
        </is>
      </c>
      <c r="B42" s="46" t="n"/>
      <c r="C42" s="40" t="n"/>
      <c r="D42" s="40" t="n"/>
      <c r="E42" s="40" t="n"/>
      <c r="F42" s="44" t="n"/>
      <c r="G42" s="40" t="n"/>
      <c r="H42" s="40" t="n"/>
      <c r="I42" s="44">
        <f>IFERROR(EDATE(F42,H42),"")</f>
        <v/>
      </c>
      <c r="J42" s="47" t="n"/>
      <c r="K42" s="40" t="n"/>
      <c r="L42" s="40" t="n"/>
      <c r="M42" s="40" t="n"/>
      <c r="N42" s="40" t="n"/>
      <c r="O42" s="40">
        <f>IF($B42="","",IFERROR(INDEX('CHUYÊN CẦN'!$C$3:$N$202,MATCH($A42,'CHUYÊN CẦN'!$A$3:$A$202,0),MONTH(TODAY())),0))</f>
        <v/>
      </c>
      <c r="P42" s="44">
        <f>IF($B42="","",IF(SUMPRODUCT(MAX(('NHẬT KÝ CSKH'!$B$3:$B$1000=$A42)*'NHẬT KÝ CSKH'!$A$3:$A$1000))=0,"",SUMPRODUCT(MAX(('NHẬT KÝ CSKH'!$B$3:$B$1000=$A42)*'NHẬT KÝ CSKH'!$A$3:$A$1000))))</f>
        <v/>
      </c>
      <c r="Q42" s="40">
        <f>IF($B42="","",IF($I42="","",$I42-TODAY()))</f>
        <v/>
      </c>
      <c r="R42" s="40">
        <f>IF($B42="","",IF($O42&gt;=3,2,0)+IF($K42="Còn nợ",2,0)+IF(AND($N42="Đang học",$Q42&lt;&gt;"",$Q42&gt;=0,$Q42&lt;=30),1,0)+IF($P42="",1,IF(TODAY()-$P42&gt;60,1,0)))</f>
        <v/>
      </c>
      <c r="S42" s="40">
        <f>IF($B42="","",IF($R42&gt;=3,"CAO",IF($R42&gt;=1,"TRUNG BÌNH","THẤP")))</f>
        <v/>
      </c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</row>
    <row r="43">
      <c r="A43" s="40" t="inlineStr">
        <is>
          <t>ORI040</t>
        </is>
      </c>
      <c r="B43" s="46" t="n"/>
      <c r="C43" s="40" t="n"/>
      <c r="D43" s="40" t="n"/>
      <c r="E43" s="40" t="n"/>
      <c r="F43" s="44" t="n"/>
      <c r="G43" s="40" t="n"/>
      <c r="H43" s="40" t="n"/>
      <c r="I43" s="44">
        <f>IFERROR(EDATE(F43,H43),"")</f>
        <v/>
      </c>
      <c r="J43" s="47" t="n"/>
      <c r="K43" s="40" t="n"/>
      <c r="L43" s="40" t="n"/>
      <c r="M43" s="40" t="n"/>
      <c r="N43" s="40" t="n"/>
      <c r="O43" s="40">
        <f>IF($B43="","",IFERROR(INDEX('CHUYÊN CẦN'!$C$3:$N$202,MATCH($A43,'CHUYÊN CẦN'!$A$3:$A$202,0),MONTH(TODAY())),0))</f>
        <v/>
      </c>
      <c r="P43" s="44">
        <f>IF($B43="","",IF(SUMPRODUCT(MAX(('NHẬT KÝ CSKH'!$B$3:$B$1000=$A43)*'NHẬT KÝ CSKH'!$A$3:$A$1000))=0,"",SUMPRODUCT(MAX(('NHẬT KÝ CSKH'!$B$3:$B$1000=$A43)*'NHẬT KÝ CSKH'!$A$3:$A$1000))))</f>
        <v/>
      </c>
      <c r="Q43" s="40">
        <f>IF($B43="","",IF($I43="","",$I43-TODAY()))</f>
        <v/>
      </c>
      <c r="R43" s="40">
        <f>IF($B43="","",IF($O43&gt;=3,2,0)+IF($K43="Còn nợ",2,0)+IF(AND($N43="Đang học",$Q43&lt;&gt;"",$Q43&gt;=0,$Q43&lt;=30),1,0)+IF($P43="",1,IF(TODAY()-$P43&gt;60,1,0)))</f>
        <v/>
      </c>
      <c r="S43" s="40">
        <f>IF($B43="","",IF($R43&gt;=3,"CAO",IF($R43&gt;=1,"TRUNG BÌNH","THẤP")))</f>
        <v/>
      </c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</row>
    <row r="44">
      <c r="A44" s="40" t="inlineStr">
        <is>
          <t>ORI041</t>
        </is>
      </c>
      <c r="B44" s="46" t="n"/>
      <c r="C44" s="40" t="n"/>
      <c r="D44" s="40" t="n"/>
      <c r="E44" s="40" t="n"/>
      <c r="F44" s="44" t="n"/>
      <c r="G44" s="40" t="n"/>
      <c r="H44" s="40" t="n"/>
      <c r="I44" s="44">
        <f>IFERROR(EDATE(F44,H44),"")</f>
        <v/>
      </c>
      <c r="J44" s="47" t="n"/>
      <c r="K44" s="40" t="n"/>
      <c r="L44" s="40" t="n"/>
      <c r="M44" s="40" t="n"/>
      <c r="N44" s="40" t="n"/>
      <c r="O44" s="40">
        <f>IF($B44="","",IFERROR(INDEX('CHUYÊN CẦN'!$C$3:$N$202,MATCH($A44,'CHUYÊN CẦN'!$A$3:$A$202,0),MONTH(TODAY())),0))</f>
        <v/>
      </c>
      <c r="P44" s="44">
        <f>IF($B44="","",IF(SUMPRODUCT(MAX(('NHẬT KÝ CSKH'!$B$3:$B$1000=$A44)*'NHẬT KÝ CSKH'!$A$3:$A$1000))=0,"",SUMPRODUCT(MAX(('NHẬT KÝ CSKH'!$B$3:$B$1000=$A44)*'NHẬT KÝ CSKH'!$A$3:$A$1000))))</f>
        <v/>
      </c>
      <c r="Q44" s="40">
        <f>IF($B44="","",IF($I44="","",$I44-TODAY()))</f>
        <v/>
      </c>
      <c r="R44" s="40">
        <f>IF($B44="","",IF($O44&gt;=3,2,0)+IF($K44="Còn nợ",2,0)+IF(AND($N44="Đang học",$Q44&lt;&gt;"",$Q44&gt;=0,$Q44&lt;=30),1,0)+IF($P44="",1,IF(TODAY()-$P44&gt;60,1,0)))</f>
        <v/>
      </c>
      <c r="S44" s="40">
        <f>IF($B44="","",IF($R44&gt;=3,"CAO",IF($R44&gt;=1,"TRUNG BÌNH","THẤP")))</f>
        <v/>
      </c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</row>
    <row r="45">
      <c r="A45" s="40" t="inlineStr">
        <is>
          <t>ORI042</t>
        </is>
      </c>
      <c r="B45" s="46" t="n"/>
      <c r="C45" s="40" t="n"/>
      <c r="D45" s="40" t="n"/>
      <c r="E45" s="40" t="n"/>
      <c r="F45" s="44" t="n"/>
      <c r="G45" s="40" t="n"/>
      <c r="H45" s="40" t="n"/>
      <c r="I45" s="44">
        <f>IFERROR(EDATE(F45,H45),"")</f>
        <v/>
      </c>
      <c r="J45" s="47" t="n"/>
      <c r="K45" s="40" t="n"/>
      <c r="L45" s="40" t="n"/>
      <c r="M45" s="40" t="n"/>
      <c r="N45" s="40" t="n"/>
      <c r="O45" s="40">
        <f>IF($B45="","",IFERROR(INDEX('CHUYÊN CẦN'!$C$3:$N$202,MATCH($A45,'CHUYÊN CẦN'!$A$3:$A$202,0),MONTH(TODAY())),0))</f>
        <v/>
      </c>
      <c r="P45" s="44">
        <f>IF($B45="","",IF(SUMPRODUCT(MAX(('NHẬT KÝ CSKH'!$B$3:$B$1000=$A45)*'NHẬT KÝ CSKH'!$A$3:$A$1000))=0,"",SUMPRODUCT(MAX(('NHẬT KÝ CSKH'!$B$3:$B$1000=$A45)*'NHẬT KÝ CSKH'!$A$3:$A$1000))))</f>
        <v/>
      </c>
      <c r="Q45" s="40">
        <f>IF($B45="","",IF($I45="","",$I45-TODAY()))</f>
        <v/>
      </c>
      <c r="R45" s="40">
        <f>IF($B45="","",IF($O45&gt;=3,2,0)+IF($K45="Còn nợ",2,0)+IF(AND($N45="Đang học",$Q45&lt;&gt;"",$Q45&gt;=0,$Q45&lt;=30),1,0)+IF($P45="",1,IF(TODAY()-$P45&gt;60,1,0)))</f>
        <v/>
      </c>
      <c r="S45" s="40">
        <f>IF($B45="","",IF($R45&gt;=3,"CAO",IF($R45&gt;=1,"TRUNG BÌNH","THẤP")))</f>
        <v/>
      </c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</row>
    <row r="46">
      <c r="A46" s="40" t="inlineStr">
        <is>
          <t>ORI043</t>
        </is>
      </c>
      <c r="B46" s="46" t="n"/>
      <c r="C46" s="40" t="n"/>
      <c r="D46" s="40" t="n"/>
      <c r="E46" s="40" t="n"/>
      <c r="F46" s="44" t="n"/>
      <c r="G46" s="40" t="n"/>
      <c r="H46" s="40" t="n"/>
      <c r="I46" s="44">
        <f>IFERROR(EDATE(F46,H46),"")</f>
        <v/>
      </c>
      <c r="J46" s="47" t="n"/>
      <c r="K46" s="40" t="n"/>
      <c r="L46" s="40" t="n"/>
      <c r="M46" s="40" t="n"/>
      <c r="N46" s="40" t="n"/>
      <c r="O46" s="40">
        <f>IF($B46="","",IFERROR(INDEX('CHUYÊN CẦN'!$C$3:$N$202,MATCH($A46,'CHUYÊN CẦN'!$A$3:$A$202,0),MONTH(TODAY())),0))</f>
        <v/>
      </c>
      <c r="P46" s="44">
        <f>IF($B46="","",IF(SUMPRODUCT(MAX(('NHẬT KÝ CSKH'!$B$3:$B$1000=$A46)*'NHẬT KÝ CSKH'!$A$3:$A$1000))=0,"",SUMPRODUCT(MAX(('NHẬT KÝ CSKH'!$B$3:$B$1000=$A46)*'NHẬT KÝ CSKH'!$A$3:$A$1000))))</f>
        <v/>
      </c>
      <c r="Q46" s="40">
        <f>IF($B46="","",IF($I46="","",$I46-TODAY()))</f>
        <v/>
      </c>
      <c r="R46" s="40">
        <f>IF($B46="","",IF($O46&gt;=3,2,0)+IF($K46="Còn nợ",2,0)+IF(AND($N46="Đang học",$Q46&lt;&gt;"",$Q46&gt;=0,$Q46&lt;=30),1,0)+IF($P46="",1,IF(TODAY()-$P46&gt;60,1,0)))</f>
        <v/>
      </c>
      <c r="S46" s="40">
        <f>IF($B46="","",IF($R46&gt;=3,"CAO",IF($R46&gt;=1,"TRUNG BÌNH","THẤP")))</f>
        <v/>
      </c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</row>
    <row r="47">
      <c r="A47" s="40" t="inlineStr">
        <is>
          <t>ORI044</t>
        </is>
      </c>
      <c r="B47" s="46" t="n"/>
      <c r="C47" s="40" t="n"/>
      <c r="D47" s="40" t="n"/>
      <c r="E47" s="40" t="n"/>
      <c r="F47" s="44" t="n"/>
      <c r="G47" s="40" t="n"/>
      <c r="H47" s="40" t="n"/>
      <c r="I47" s="44">
        <f>IFERROR(EDATE(F47,H47),"")</f>
        <v/>
      </c>
      <c r="J47" s="47" t="n"/>
      <c r="K47" s="40" t="n"/>
      <c r="L47" s="40" t="n"/>
      <c r="M47" s="40" t="n"/>
      <c r="N47" s="40" t="n"/>
      <c r="O47" s="40">
        <f>IF($B47="","",IFERROR(INDEX('CHUYÊN CẦN'!$C$3:$N$202,MATCH($A47,'CHUYÊN CẦN'!$A$3:$A$202,0),MONTH(TODAY())),0))</f>
        <v/>
      </c>
      <c r="P47" s="44">
        <f>IF($B47="","",IF(SUMPRODUCT(MAX(('NHẬT KÝ CSKH'!$B$3:$B$1000=$A47)*'NHẬT KÝ CSKH'!$A$3:$A$1000))=0,"",SUMPRODUCT(MAX(('NHẬT KÝ CSKH'!$B$3:$B$1000=$A47)*'NHẬT KÝ CSKH'!$A$3:$A$1000))))</f>
        <v/>
      </c>
      <c r="Q47" s="40">
        <f>IF($B47="","",IF($I47="","",$I47-TODAY()))</f>
        <v/>
      </c>
      <c r="R47" s="40">
        <f>IF($B47="","",IF($O47&gt;=3,2,0)+IF($K47="Còn nợ",2,0)+IF(AND($N47="Đang học",$Q47&lt;&gt;"",$Q47&gt;=0,$Q47&lt;=30),1,0)+IF($P47="",1,IF(TODAY()-$P47&gt;60,1,0)))</f>
        <v/>
      </c>
      <c r="S47" s="40">
        <f>IF($B47="","",IF($R47&gt;=3,"CAO",IF($R47&gt;=1,"TRUNG BÌNH","THẤP")))</f>
        <v/>
      </c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</row>
    <row r="48">
      <c r="A48" s="40" t="inlineStr">
        <is>
          <t>ORI045</t>
        </is>
      </c>
      <c r="B48" s="46" t="n"/>
      <c r="C48" s="40" t="n"/>
      <c r="D48" s="40" t="n"/>
      <c r="E48" s="40" t="n"/>
      <c r="F48" s="44" t="n"/>
      <c r="G48" s="40" t="n"/>
      <c r="H48" s="40" t="n"/>
      <c r="I48" s="44">
        <f>IFERROR(EDATE(F48,H48),"")</f>
        <v/>
      </c>
      <c r="J48" s="47" t="n"/>
      <c r="K48" s="40" t="n"/>
      <c r="L48" s="40" t="n"/>
      <c r="M48" s="40" t="n"/>
      <c r="N48" s="40" t="n"/>
      <c r="O48" s="40">
        <f>IF($B48="","",IFERROR(INDEX('CHUYÊN CẦN'!$C$3:$N$202,MATCH($A48,'CHUYÊN CẦN'!$A$3:$A$202,0),MONTH(TODAY())),0))</f>
        <v/>
      </c>
      <c r="P48" s="44">
        <f>IF($B48="","",IF(SUMPRODUCT(MAX(('NHẬT KÝ CSKH'!$B$3:$B$1000=$A48)*'NHẬT KÝ CSKH'!$A$3:$A$1000))=0,"",SUMPRODUCT(MAX(('NHẬT KÝ CSKH'!$B$3:$B$1000=$A48)*'NHẬT KÝ CSKH'!$A$3:$A$1000))))</f>
        <v/>
      </c>
      <c r="Q48" s="40">
        <f>IF($B48="","",IF($I48="","",$I48-TODAY()))</f>
        <v/>
      </c>
      <c r="R48" s="40">
        <f>IF($B48="","",IF($O48&gt;=3,2,0)+IF($K48="Còn nợ",2,0)+IF(AND($N48="Đang học",$Q48&lt;&gt;"",$Q48&gt;=0,$Q48&lt;=30),1,0)+IF($P48="",1,IF(TODAY()-$P48&gt;60,1,0)))</f>
        <v/>
      </c>
      <c r="S48" s="40">
        <f>IF($B48="","",IF($R48&gt;=3,"CAO",IF($R48&gt;=1,"TRUNG BÌNH","THẤP")))</f>
        <v/>
      </c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</row>
    <row r="49">
      <c r="A49" s="40" t="inlineStr">
        <is>
          <t>ORI046</t>
        </is>
      </c>
      <c r="B49" s="46" t="n"/>
      <c r="C49" s="40" t="n"/>
      <c r="D49" s="40" t="n"/>
      <c r="E49" s="40" t="n"/>
      <c r="F49" s="44" t="n"/>
      <c r="G49" s="40" t="n"/>
      <c r="H49" s="40" t="n"/>
      <c r="I49" s="44">
        <f>IFERROR(EDATE(F49,H49),"")</f>
        <v/>
      </c>
      <c r="J49" s="47" t="n"/>
      <c r="K49" s="40" t="n"/>
      <c r="L49" s="40" t="n"/>
      <c r="M49" s="40" t="n"/>
      <c r="N49" s="40" t="n"/>
      <c r="O49" s="40">
        <f>IF($B49="","",IFERROR(INDEX('CHUYÊN CẦN'!$C$3:$N$202,MATCH($A49,'CHUYÊN CẦN'!$A$3:$A$202,0),MONTH(TODAY())),0))</f>
        <v/>
      </c>
      <c r="P49" s="44">
        <f>IF($B49="","",IF(SUMPRODUCT(MAX(('NHẬT KÝ CSKH'!$B$3:$B$1000=$A49)*'NHẬT KÝ CSKH'!$A$3:$A$1000))=0,"",SUMPRODUCT(MAX(('NHẬT KÝ CSKH'!$B$3:$B$1000=$A49)*'NHẬT KÝ CSKH'!$A$3:$A$1000))))</f>
        <v/>
      </c>
      <c r="Q49" s="40">
        <f>IF($B49="","",IF($I49="","",$I49-TODAY()))</f>
        <v/>
      </c>
      <c r="R49" s="40">
        <f>IF($B49="","",IF($O49&gt;=3,2,0)+IF($K49="Còn nợ",2,0)+IF(AND($N49="Đang học",$Q49&lt;&gt;"",$Q49&gt;=0,$Q49&lt;=30),1,0)+IF($P49="",1,IF(TODAY()-$P49&gt;60,1,0)))</f>
        <v/>
      </c>
      <c r="S49" s="40">
        <f>IF($B49="","",IF($R49&gt;=3,"CAO",IF($R49&gt;=1,"TRUNG BÌNH","THẤP")))</f>
        <v/>
      </c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</row>
    <row r="50">
      <c r="A50" s="40" t="inlineStr">
        <is>
          <t>ORI047</t>
        </is>
      </c>
      <c r="B50" s="46" t="n"/>
      <c r="C50" s="40" t="n"/>
      <c r="D50" s="40" t="n"/>
      <c r="E50" s="40" t="n"/>
      <c r="F50" s="44" t="n"/>
      <c r="G50" s="40" t="n"/>
      <c r="H50" s="40" t="n"/>
      <c r="I50" s="44">
        <f>IFERROR(EDATE(F50,H50),"")</f>
        <v/>
      </c>
      <c r="J50" s="47" t="n"/>
      <c r="K50" s="40" t="n"/>
      <c r="L50" s="40" t="n"/>
      <c r="M50" s="40" t="n"/>
      <c r="N50" s="40" t="n"/>
      <c r="O50" s="40">
        <f>IF($B50="","",IFERROR(INDEX('CHUYÊN CẦN'!$C$3:$N$202,MATCH($A50,'CHUYÊN CẦN'!$A$3:$A$202,0),MONTH(TODAY())),0))</f>
        <v/>
      </c>
      <c r="P50" s="44">
        <f>IF($B50="","",IF(SUMPRODUCT(MAX(('NHẬT KÝ CSKH'!$B$3:$B$1000=$A50)*'NHẬT KÝ CSKH'!$A$3:$A$1000))=0,"",SUMPRODUCT(MAX(('NHẬT KÝ CSKH'!$B$3:$B$1000=$A50)*'NHẬT KÝ CSKH'!$A$3:$A$1000))))</f>
        <v/>
      </c>
      <c r="Q50" s="40">
        <f>IF($B50="","",IF($I50="","",$I50-TODAY()))</f>
        <v/>
      </c>
      <c r="R50" s="40">
        <f>IF($B50="","",IF($O50&gt;=3,2,0)+IF($K50="Còn nợ",2,0)+IF(AND($N50="Đang học",$Q50&lt;&gt;"",$Q50&gt;=0,$Q50&lt;=30),1,0)+IF($P50="",1,IF(TODAY()-$P50&gt;60,1,0)))</f>
        <v/>
      </c>
      <c r="S50" s="40">
        <f>IF($B50="","",IF($R50&gt;=3,"CAO",IF($R50&gt;=1,"TRUNG BÌNH","THẤP")))</f>
        <v/>
      </c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</row>
    <row r="51">
      <c r="A51" s="40" t="inlineStr">
        <is>
          <t>ORI048</t>
        </is>
      </c>
      <c r="B51" s="46" t="n"/>
      <c r="C51" s="40" t="n"/>
      <c r="D51" s="40" t="n"/>
      <c r="E51" s="40" t="n"/>
      <c r="F51" s="44" t="n"/>
      <c r="G51" s="40" t="n"/>
      <c r="H51" s="40" t="n"/>
      <c r="I51" s="44">
        <f>IFERROR(EDATE(F51,H51),"")</f>
        <v/>
      </c>
      <c r="J51" s="47" t="n"/>
      <c r="K51" s="40" t="n"/>
      <c r="L51" s="40" t="n"/>
      <c r="M51" s="40" t="n"/>
      <c r="N51" s="40" t="n"/>
      <c r="O51" s="40">
        <f>IF($B51="","",IFERROR(INDEX('CHUYÊN CẦN'!$C$3:$N$202,MATCH($A51,'CHUYÊN CẦN'!$A$3:$A$202,0),MONTH(TODAY())),0))</f>
        <v/>
      </c>
      <c r="P51" s="44">
        <f>IF($B51="","",IF(SUMPRODUCT(MAX(('NHẬT KÝ CSKH'!$B$3:$B$1000=$A51)*'NHẬT KÝ CSKH'!$A$3:$A$1000))=0,"",SUMPRODUCT(MAX(('NHẬT KÝ CSKH'!$B$3:$B$1000=$A51)*'NHẬT KÝ CSKH'!$A$3:$A$1000))))</f>
        <v/>
      </c>
      <c r="Q51" s="40">
        <f>IF($B51="","",IF($I51="","",$I51-TODAY()))</f>
        <v/>
      </c>
      <c r="R51" s="40">
        <f>IF($B51="","",IF($O51&gt;=3,2,0)+IF($K51="Còn nợ",2,0)+IF(AND($N51="Đang học",$Q51&lt;&gt;"",$Q51&gt;=0,$Q51&lt;=30),1,0)+IF($P51="",1,IF(TODAY()-$P51&gt;60,1,0)))</f>
        <v/>
      </c>
      <c r="S51" s="40">
        <f>IF($B51="","",IF($R51&gt;=3,"CAO",IF($R51&gt;=1,"TRUNG BÌNH","THẤP")))</f>
        <v/>
      </c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</row>
    <row r="52">
      <c r="A52" s="40" t="inlineStr">
        <is>
          <t>ORI049</t>
        </is>
      </c>
      <c r="B52" s="46" t="n"/>
      <c r="C52" s="40" t="n"/>
      <c r="D52" s="40" t="n"/>
      <c r="E52" s="40" t="n"/>
      <c r="F52" s="44" t="n"/>
      <c r="G52" s="40" t="n"/>
      <c r="H52" s="40" t="n"/>
      <c r="I52" s="44">
        <f>IFERROR(EDATE(F52,H52),"")</f>
        <v/>
      </c>
      <c r="J52" s="47" t="n"/>
      <c r="K52" s="40" t="n"/>
      <c r="L52" s="40" t="n"/>
      <c r="M52" s="40" t="n"/>
      <c r="N52" s="40" t="n"/>
      <c r="O52" s="40">
        <f>IF($B52="","",IFERROR(INDEX('CHUYÊN CẦN'!$C$3:$N$202,MATCH($A52,'CHUYÊN CẦN'!$A$3:$A$202,0),MONTH(TODAY())),0))</f>
        <v/>
      </c>
      <c r="P52" s="44">
        <f>IF($B52="","",IF(SUMPRODUCT(MAX(('NHẬT KÝ CSKH'!$B$3:$B$1000=$A52)*'NHẬT KÝ CSKH'!$A$3:$A$1000))=0,"",SUMPRODUCT(MAX(('NHẬT KÝ CSKH'!$B$3:$B$1000=$A52)*'NHẬT KÝ CSKH'!$A$3:$A$1000))))</f>
        <v/>
      </c>
      <c r="Q52" s="40">
        <f>IF($B52="","",IF($I52="","",$I52-TODAY()))</f>
        <v/>
      </c>
      <c r="R52" s="40">
        <f>IF($B52="","",IF($O52&gt;=3,2,0)+IF($K52="Còn nợ",2,0)+IF(AND($N52="Đang học",$Q52&lt;&gt;"",$Q52&gt;=0,$Q52&lt;=30),1,0)+IF($P52="",1,IF(TODAY()-$P52&gt;60,1,0)))</f>
        <v/>
      </c>
      <c r="S52" s="40">
        <f>IF($B52="","",IF($R52&gt;=3,"CAO",IF($R52&gt;=1,"TRUNG BÌNH","THẤP")))</f>
        <v/>
      </c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</row>
    <row r="53">
      <c r="A53" s="40" t="inlineStr">
        <is>
          <t>ORI050</t>
        </is>
      </c>
      <c r="B53" s="46" t="n"/>
      <c r="C53" s="40" t="n"/>
      <c r="D53" s="40" t="n"/>
      <c r="E53" s="40" t="n"/>
      <c r="F53" s="44" t="n"/>
      <c r="G53" s="40" t="n"/>
      <c r="H53" s="40" t="n"/>
      <c r="I53" s="44">
        <f>IFERROR(EDATE(F53,H53),"")</f>
        <v/>
      </c>
      <c r="J53" s="47" t="n"/>
      <c r="K53" s="40" t="n"/>
      <c r="L53" s="40" t="n"/>
      <c r="M53" s="40" t="n"/>
      <c r="N53" s="40" t="n"/>
      <c r="O53" s="40">
        <f>IF($B53="","",IFERROR(INDEX('CHUYÊN CẦN'!$C$3:$N$202,MATCH($A53,'CHUYÊN CẦN'!$A$3:$A$202,0),MONTH(TODAY())),0))</f>
        <v/>
      </c>
      <c r="P53" s="44">
        <f>IF($B53="","",IF(SUMPRODUCT(MAX(('NHẬT KÝ CSKH'!$B$3:$B$1000=$A53)*'NHẬT KÝ CSKH'!$A$3:$A$1000))=0,"",SUMPRODUCT(MAX(('NHẬT KÝ CSKH'!$B$3:$B$1000=$A53)*'NHẬT KÝ CSKH'!$A$3:$A$1000))))</f>
        <v/>
      </c>
      <c r="Q53" s="40">
        <f>IF($B53="","",IF($I53="","",$I53-TODAY()))</f>
        <v/>
      </c>
      <c r="R53" s="40">
        <f>IF($B53="","",IF($O53&gt;=3,2,0)+IF($K53="Còn nợ",2,0)+IF(AND($N53="Đang học",$Q53&lt;&gt;"",$Q53&gt;=0,$Q53&lt;=30),1,0)+IF($P53="",1,IF(TODAY()-$P53&gt;60,1,0)))</f>
        <v/>
      </c>
      <c r="S53" s="40">
        <f>IF($B53="","",IF($R53&gt;=3,"CAO",IF($R53&gt;=1,"TRUNG BÌNH","THẤP")))</f>
        <v/>
      </c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</row>
    <row r="54">
      <c r="A54" s="40" t="inlineStr">
        <is>
          <t>ORI051</t>
        </is>
      </c>
      <c r="B54" s="46" t="n"/>
      <c r="C54" s="40" t="n"/>
      <c r="D54" s="40" t="n"/>
      <c r="E54" s="40" t="n"/>
      <c r="F54" s="44" t="n"/>
      <c r="G54" s="40" t="n"/>
      <c r="H54" s="40" t="n"/>
      <c r="I54" s="44">
        <f>IFERROR(EDATE(F54,H54),"")</f>
        <v/>
      </c>
      <c r="J54" s="47" t="n"/>
      <c r="K54" s="40" t="n"/>
      <c r="L54" s="40" t="n"/>
      <c r="M54" s="40" t="n"/>
      <c r="N54" s="40" t="n"/>
      <c r="O54" s="40">
        <f>IF($B54="","",IFERROR(INDEX('CHUYÊN CẦN'!$C$3:$N$202,MATCH($A54,'CHUYÊN CẦN'!$A$3:$A$202,0),MONTH(TODAY())),0))</f>
        <v/>
      </c>
      <c r="P54" s="44">
        <f>IF($B54="","",IF(SUMPRODUCT(MAX(('NHẬT KÝ CSKH'!$B$3:$B$1000=$A54)*'NHẬT KÝ CSKH'!$A$3:$A$1000))=0,"",SUMPRODUCT(MAX(('NHẬT KÝ CSKH'!$B$3:$B$1000=$A54)*'NHẬT KÝ CSKH'!$A$3:$A$1000))))</f>
        <v/>
      </c>
      <c r="Q54" s="40">
        <f>IF($B54="","",IF($I54="","",$I54-TODAY()))</f>
        <v/>
      </c>
      <c r="R54" s="40">
        <f>IF($B54="","",IF($O54&gt;=3,2,0)+IF($K54="Còn nợ",2,0)+IF(AND($N54="Đang học",$Q54&lt;&gt;"",$Q54&gt;=0,$Q54&lt;=30),1,0)+IF($P54="",1,IF(TODAY()-$P54&gt;60,1,0)))</f>
        <v/>
      </c>
      <c r="S54" s="40">
        <f>IF($B54="","",IF($R54&gt;=3,"CAO",IF($R54&gt;=1,"TRUNG BÌNH","THẤP")))</f>
        <v/>
      </c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</row>
    <row r="55">
      <c r="A55" s="40" t="inlineStr">
        <is>
          <t>ORI052</t>
        </is>
      </c>
      <c r="B55" s="46" t="n"/>
      <c r="C55" s="40" t="n"/>
      <c r="D55" s="40" t="n"/>
      <c r="E55" s="40" t="n"/>
      <c r="F55" s="44" t="n"/>
      <c r="G55" s="40" t="n"/>
      <c r="H55" s="40" t="n"/>
      <c r="I55" s="44">
        <f>IFERROR(EDATE(F55,H55),"")</f>
        <v/>
      </c>
      <c r="J55" s="47" t="n"/>
      <c r="K55" s="40" t="n"/>
      <c r="L55" s="40" t="n"/>
      <c r="M55" s="40" t="n"/>
      <c r="N55" s="40" t="n"/>
      <c r="O55" s="40">
        <f>IF($B55="","",IFERROR(INDEX('CHUYÊN CẦN'!$C$3:$N$202,MATCH($A55,'CHUYÊN CẦN'!$A$3:$A$202,0),MONTH(TODAY())),0))</f>
        <v/>
      </c>
      <c r="P55" s="44">
        <f>IF($B55="","",IF(SUMPRODUCT(MAX(('NHẬT KÝ CSKH'!$B$3:$B$1000=$A55)*'NHẬT KÝ CSKH'!$A$3:$A$1000))=0,"",SUMPRODUCT(MAX(('NHẬT KÝ CSKH'!$B$3:$B$1000=$A55)*'NHẬT KÝ CSKH'!$A$3:$A$1000))))</f>
        <v/>
      </c>
      <c r="Q55" s="40">
        <f>IF($B55="","",IF($I55="","",$I55-TODAY()))</f>
        <v/>
      </c>
      <c r="R55" s="40">
        <f>IF($B55="","",IF($O55&gt;=3,2,0)+IF($K55="Còn nợ",2,0)+IF(AND($N55="Đang học",$Q55&lt;&gt;"",$Q55&gt;=0,$Q55&lt;=30),1,0)+IF($P55="",1,IF(TODAY()-$P55&gt;60,1,0)))</f>
        <v/>
      </c>
      <c r="S55" s="40">
        <f>IF($B55="","",IF($R55&gt;=3,"CAO",IF($R55&gt;=1,"TRUNG BÌNH","THẤP")))</f>
        <v/>
      </c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</row>
    <row r="56">
      <c r="A56" s="40" t="inlineStr">
        <is>
          <t>ORI053</t>
        </is>
      </c>
      <c r="B56" s="46" t="n"/>
      <c r="C56" s="40" t="n"/>
      <c r="D56" s="40" t="n"/>
      <c r="E56" s="40" t="n"/>
      <c r="F56" s="44" t="n"/>
      <c r="G56" s="40" t="n"/>
      <c r="H56" s="40" t="n"/>
      <c r="I56" s="44">
        <f>IFERROR(EDATE(F56,H56),"")</f>
        <v/>
      </c>
      <c r="J56" s="47" t="n"/>
      <c r="K56" s="40" t="n"/>
      <c r="L56" s="40" t="n"/>
      <c r="M56" s="40" t="n"/>
      <c r="N56" s="40" t="n"/>
      <c r="O56" s="40">
        <f>IF($B56="","",IFERROR(INDEX('CHUYÊN CẦN'!$C$3:$N$202,MATCH($A56,'CHUYÊN CẦN'!$A$3:$A$202,0),MONTH(TODAY())),0))</f>
        <v/>
      </c>
      <c r="P56" s="44">
        <f>IF($B56="","",IF(SUMPRODUCT(MAX(('NHẬT KÝ CSKH'!$B$3:$B$1000=$A56)*'NHẬT KÝ CSKH'!$A$3:$A$1000))=0,"",SUMPRODUCT(MAX(('NHẬT KÝ CSKH'!$B$3:$B$1000=$A56)*'NHẬT KÝ CSKH'!$A$3:$A$1000))))</f>
        <v/>
      </c>
      <c r="Q56" s="40">
        <f>IF($B56="","",IF($I56="","",$I56-TODAY()))</f>
        <v/>
      </c>
      <c r="R56" s="40">
        <f>IF($B56="","",IF($O56&gt;=3,2,0)+IF($K56="Còn nợ",2,0)+IF(AND($N56="Đang học",$Q56&lt;&gt;"",$Q56&gt;=0,$Q56&lt;=30),1,0)+IF($P56="",1,IF(TODAY()-$P56&gt;60,1,0)))</f>
        <v/>
      </c>
      <c r="S56" s="40">
        <f>IF($B56="","",IF($R56&gt;=3,"CAO",IF($R56&gt;=1,"TRUNG BÌNH","THẤP")))</f>
        <v/>
      </c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</row>
    <row r="57">
      <c r="A57" s="40" t="inlineStr">
        <is>
          <t>ORI054</t>
        </is>
      </c>
      <c r="B57" s="46" t="n"/>
      <c r="C57" s="40" t="n"/>
      <c r="D57" s="40" t="n"/>
      <c r="E57" s="40" t="n"/>
      <c r="F57" s="44" t="n"/>
      <c r="G57" s="40" t="n"/>
      <c r="H57" s="40" t="n"/>
      <c r="I57" s="44">
        <f>IFERROR(EDATE(F57,H57),"")</f>
        <v/>
      </c>
      <c r="J57" s="47" t="n"/>
      <c r="K57" s="40" t="n"/>
      <c r="L57" s="40" t="n"/>
      <c r="M57" s="40" t="n"/>
      <c r="N57" s="40" t="n"/>
      <c r="O57" s="40">
        <f>IF($B57="","",IFERROR(INDEX('CHUYÊN CẦN'!$C$3:$N$202,MATCH($A57,'CHUYÊN CẦN'!$A$3:$A$202,0),MONTH(TODAY())),0))</f>
        <v/>
      </c>
      <c r="P57" s="44">
        <f>IF($B57="","",IF(SUMPRODUCT(MAX(('NHẬT KÝ CSKH'!$B$3:$B$1000=$A57)*'NHẬT KÝ CSKH'!$A$3:$A$1000))=0,"",SUMPRODUCT(MAX(('NHẬT KÝ CSKH'!$B$3:$B$1000=$A57)*'NHẬT KÝ CSKH'!$A$3:$A$1000))))</f>
        <v/>
      </c>
      <c r="Q57" s="40">
        <f>IF($B57="","",IF($I57="","",$I57-TODAY()))</f>
        <v/>
      </c>
      <c r="R57" s="40">
        <f>IF($B57="","",IF($O57&gt;=3,2,0)+IF($K57="Còn nợ",2,0)+IF(AND($N57="Đang học",$Q57&lt;&gt;"",$Q57&gt;=0,$Q57&lt;=30),1,0)+IF($P57="",1,IF(TODAY()-$P57&gt;60,1,0)))</f>
        <v/>
      </c>
      <c r="S57" s="40">
        <f>IF($B57="","",IF($R57&gt;=3,"CAO",IF($R57&gt;=1,"TRUNG BÌNH","THẤP")))</f>
        <v/>
      </c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  <c r="AQ57" s="40" t="n"/>
    </row>
    <row r="58">
      <c r="A58" s="40" t="inlineStr">
        <is>
          <t>ORI055</t>
        </is>
      </c>
      <c r="B58" s="46" t="n"/>
      <c r="C58" s="40" t="n"/>
      <c r="D58" s="40" t="n"/>
      <c r="E58" s="40" t="n"/>
      <c r="F58" s="44" t="n"/>
      <c r="G58" s="40" t="n"/>
      <c r="H58" s="40" t="n"/>
      <c r="I58" s="44">
        <f>IFERROR(EDATE(F58,H58),"")</f>
        <v/>
      </c>
      <c r="J58" s="47" t="n"/>
      <c r="K58" s="40" t="n"/>
      <c r="L58" s="40" t="n"/>
      <c r="M58" s="40" t="n"/>
      <c r="N58" s="40" t="n"/>
      <c r="O58" s="40">
        <f>IF($B58="","",IFERROR(INDEX('CHUYÊN CẦN'!$C$3:$N$202,MATCH($A58,'CHUYÊN CẦN'!$A$3:$A$202,0),MONTH(TODAY())),0))</f>
        <v/>
      </c>
      <c r="P58" s="44">
        <f>IF($B58="","",IF(SUMPRODUCT(MAX(('NHẬT KÝ CSKH'!$B$3:$B$1000=$A58)*'NHẬT KÝ CSKH'!$A$3:$A$1000))=0,"",SUMPRODUCT(MAX(('NHẬT KÝ CSKH'!$B$3:$B$1000=$A58)*'NHẬT KÝ CSKH'!$A$3:$A$1000))))</f>
        <v/>
      </c>
      <c r="Q58" s="40">
        <f>IF($B58="","",IF($I58="","",$I58-TODAY()))</f>
        <v/>
      </c>
      <c r="R58" s="40">
        <f>IF($B58="","",IF($O58&gt;=3,2,0)+IF($K58="Còn nợ",2,0)+IF(AND($N58="Đang học",$Q58&lt;&gt;"",$Q58&gt;=0,$Q58&lt;=30),1,0)+IF($P58="",1,IF(TODAY()-$P58&gt;60,1,0)))</f>
        <v/>
      </c>
      <c r="S58" s="40">
        <f>IF($B58="","",IF($R58&gt;=3,"CAO",IF($R58&gt;=1,"TRUNG BÌNH","THẤP")))</f>
        <v/>
      </c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</row>
    <row r="59">
      <c r="A59" s="40" t="inlineStr">
        <is>
          <t>ORI056</t>
        </is>
      </c>
      <c r="B59" s="46" t="n"/>
      <c r="C59" s="40" t="n"/>
      <c r="D59" s="40" t="n"/>
      <c r="E59" s="40" t="n"/>
      <c r="F59" s="44" t="n"/>
      <c r="G59" s="40" t="n"/>
      <c r="H59" s="40" t="n"/>
      <c r="I59" s="44">
        <f>IFERROR(EDATE(F59,H59),"")</f>
        <v/>
      </c>
      <c r="J59" s="47" t="n"/>
      <c r="K59" s="40" t="n"/>
      <c r="L59" s="40" t="n"/>
      <c r="M59" s="40" t="n"/>
      <c r="N59" s="40" t="n"/>
      <c r="O59" s="40">
        <f>IF($B59="","",IFERROR(INDEX('CHUYÊN CẦN'!$C$3:$N$202,MATCH($A59,'CHUYÊN CẦN'!$A$3:$A$202,0),MONTH(TODAY())),0))</f>
        <v/>
      </c>
      <c r="P59" s="44">
        <f>IF($B59="","",IF(SUMPRODUCT(MAX(('NHẬT KÝ CSKH'!$B$3:$B$1000=$A59)*'NHẬT KÝ CSKH'!$A$3:$A$1000))=0,"",SUMPRODUCT(MAX(('NHẬT KÝ CSKH'!$B$3:$B$1000=$A59)*'NHẬT KÝ CSKH'!$A$3:$A$1000))))</f>
        <v/>
      </c>
      <c r="Q59" s="40">
        <f>IF($B59="","",IF($I59="","",$I59-TODAY()))</f>
        <v/>
      </c>
      <c r="R59" s="40">
        <f>IF($B59="","",IF($O59&gt;=3,2,0)+IF($K59="Còn nợ",2,0)+IF(AND($N59="Đang học",$Q59&lt;&gt;"",$Q59&gt;=0,$Q59&lt;=30),1,0)+IF($P59="",1,IF(TODAY()-$P59&gt;60,1,0)))</f>
        <v/>
      </c>
      <c r="S59" s="40">
        <f>IF($B59="","",IF($R59&gt;=3,"CAO",IF($R59&gt;=1,"TRUNG BÌNH","THẤP")))</f>
        <v/>
      </c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</row>
    <row r="60">
      <c r="A60" s="40" t="inlineStr">
        <is>
          <t>ORI057</t>
        </is>
      </c>
      <c r="B60" s="46" t="n"/>
      <c r="C60" s="40" t="n"/>
      <c r="D60" s="40" t="n"/>
      <c r="E60" s="40" t="n"/>
      <c r="F60" s="44" t="n"/>
      <c r="G60" s="40" t="n"/>
      <c r="H60" s="40" t="n"/>
      <c r="I60" s="44">
        <f>IFERROR(EDATE(F60,H60),"")</f>
        <v/>
      </c>
      <c r="J60" s="47" t="n"/>
      <c r="K60" s="40" t="n"/>
      <c r="L60" s="40" t="n"/>
      <c r="M60" s="40" t="n"/>
      <c r="N60" s="40" t="n"/>
      <c r="O60" s="40">
        <f>IF($B60="","",IFERROR(INDEX('CHUYÊN CẦN'!$C$3:$N$202,MATCH($A60,'CHUYÊN CẦN'!$A$3:$A$202,0),MONTH(TODAY())),0))</f>
        <v/>
      </c>
      <c r="P60" s="44">
        <f>IF($B60="","",IF(SUMPRODUCT(MAX(('NHẬT KÝ CSKH'!$B$3:$B$1000=$A60)*'NHẬT KÝ CSKH'!$A$3:$A$1000))=0,"",SUMPRODUCT(MAX(('NHẬT KÝ CSKH'!$B$3:$B$1000=$A60)*'NHẬT KÝ CSKH'!$A$3:$A$1000))))</f>
        <v/>
      </c>
      <c r="Q60" s="40">
        <f>IF($B60="","",IF($I60="","",$I60-TODAY()))</f>
        <v/>
      </c>
      <c r="R60" s="40">
        <f>IF($B60="","",IF($O60&gt;=3,2,0)+IF($K60="Còn nợ",2,0)+IF(AND($N60="Đang học",$Q60&lt;&gt;"",$Q60&gt;=0,$Q60&lt;=30),1,0)+IF($P60="",1,IF(TODAY()-$P60&gt;60,1,0)))</f>
        <v/>
      </c>
      <c r="S60" s="40">
        <f>IF($B60="","",IF($R60&gt;=3,"CAO",IF($R60&gt;=1,"TRUNG BÌNH","THẤP")))</f>
        <v/>
      </c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</row>
    <row r="61">
      <c r="A61" s="40" t="inlineStr">
        <is>
          <t>ORI058</t>
        </is>
      </c>
      <c r="B61" s="46" t="n"/>
      <c r="C61" s="40" t="n"/>
      <c r="D61" s="40" t="n"/>
      <c r="E61" s="40" t="n"/>
      <c r="F61" s="44" t="n"/>
      <c r="G61" s="40" t="n"/>
      <c r="H61" s="40" t="n"/>
      <c r="I61" s="44">
        <f>IFERROR(EDATE(F61,H61),"")</f>
        <v/>
      </c>
      <c r="J61" s="47" t="n"/>
      <c r="K61" s="40" t="n"/>
      <c r="L61" s="40" t="n"/>
      <c r="M61" s="40" t="n"/>
      <c r="N61" s="40" t="n"/>
      <c r="O61" s="40">
        <f>IF($B61="","",IFERROR(INDEX('CHUYÊN CẦN'!$C$3:$N$202,MATCH($A61,'CHUYÊN CẦN'!$A$3:$A$202,0),MONTH(TODAY())),0))</f>
        <v/>
      </c>
      <c r="P61" s="44">
        <f>IF($B61="","",IF(SUMPRODUCT(MAX(('NHẬT KÝ CSKH'!$B$3:$B$1000=$A61)*'NHẬT KÝ CSKH'!$A$3:$A$1000))=0,"",SUMPRODUCT(MAX(('NHẬT KÝ CSKH'!$B$3:$B$1000=$A61)*'NHẬT KÝ CSKH'!$A$3:$A$1000))))</f>
        <v/>
      </c>
      <c r="Q61" s="40">
        <f>IF($B61="","",IF($I61="","",$I61-TODAY()))</f>
        <v/>
      </c>
      <c r="R61" s="40">
        <f>IF($B61="","",IF($O61&gt;=3,2,0)+IF($K61="Còn nợ",2,0)+IF(AND($N61="Đang học",$Q61&lt;&gt;"",$Q61&gt;=0,$Q61&lt;=30),1,0)+IF($P61="",1,IF(TODAY()-$P61&gt;60,1,0)))</f>
        <v/>
      </c>
      <c r="S61" s="40">
        <f>IF($B61="","",IF($R61&gt;=3,"CAO",IF($R61&gt;=1,"TRUNG BÌNH","THẤP")))</f>
        <v/>
      </c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  <c r="AQ61" s="40" t="n"/>
    </row>
    <row r="62">
      <c r="A62" s="40" t="inlineStr">
        <is>
          <t>ORI059</t>
        </is>
      </c>
      <c r="B62" s="46" t="n"/>
      <c r="C62" s="40" t="n"/>
      <c r="D62" s="40" t="n"/>
      <c r="E62" s="40" t="n"/>
      <c r="F62" s="44" t="n"/>
      <c r="G62" s="40" t="n"/>
      <c r="H62" s="40" t="n"/>
      <c r="I62" s="44">
        <f>IFERROR(EDATE(F62,H62),"")</f>
        <v/>
      </c>
      <c r="J62" s="47" t="n"/>
      <c r="K62" s="40" t="n"/>
      <c r="L62" s="40" t="n"/>
      <c r="M62" s="40" t="n"/>
      <c r="N62" s="40" t="n"/>
      <c r="O62" s="40">
        <f>IF($B62="","",IFERROR(INDEX('CHUYÊN CẦN'!$C$3:$N$202,MATCH($A62,'CHUYÊN CẦN'!$A$3:$A$202,0),MONTH(TODAY())),0))</f>
        <v/>
      </c>
      <c r="P62" s="44">
        <f>IF($B62="","",IF(SUMPRODUCT(MAX(('NHẬT KÝ CSKH'!$B$3:$B$1000=$A62)*'NHẬT KÝ CSKH'!$A$3:$A$1000))=0,"",SUMPRODUCT(MAX(('NHẬT KÝ CSKH'!$B$3:$B$1000=$A62)*'NHẬT KÝ CSKH'!$A$3:$A$1000))))</f>
        <v/>
      </c>
      <c r="Q62" s="40">
        <f>IF($B62="","",IF($I62="","",$I62-TODAY()))</f>
        <v/>
      </c>
      <c r="R62" s="40">
        <f>IF($B62="","",IF($O62&gt;=3,2,0)+IF($K62="Còn nợ",2,0)+IF(AND($N62="Đang học",$Q62&lt;&gt;"",$Q62&gt;=0,$Q62&lt;=30),1,0)+IF($P62="",1,IF(TODAY()-$P62&gt;60,1,0)))</f>
        <v/>
      </c>
      <c r="S62" s="40">
        <f>IF($B62="","",IF($R62&gt;=3,"CAO",IF($R62&gt;=1,"TRUNG BÌNH","THẤP")))</f>
        <v/>
      </c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</row>
    <row r="63">
      <c r="A63" s="40" t="inlineStr">
        <is>
          <t>ORI060</t>
        </is>
      </c>
      <c r="B63" s="46" t="n"/>
      <c r="C63" s="40" t="n"/>
      <c r="D63" s="40" t="n"/>
      <c r="E63" s="40" t="n"/>
      <c r="F63" s="44" t="n"/>
      <c r="G63" s="40" t="n"/>
      <c r="H63" s="40" t="n"/>
      <c r="I63" s="44">
        <f>IFERROR(EDATE(F63,H63),"")</f>
        <v/>
      </c>
      <c r="J63" s="47" t="n"/>
      <c r="K63" s="40" t="n"/>
      <c r="L63" s="40" t="n"/>
      <c r="M63" s="40" t="n"/>
      <c r="N63" s="40" t="n"/>
      <c r="O63" s="40">
        <f>IF($B63="","",IFERROR(INDEX('CHUYÊN CẦN'!$C$3:$N$202,MATCH($A63,'CHUYÊN CẦN'!$A$3:$A$202,0),MONTH(TODAY())),0))</f>
        <v/>
      </c>
      <c r="P63" s="44">
        <f>IF($B63="","",IF(SUMPRODUCT(MAX(('NHẬT KÝ CSKH'!$B$3:$B$1000=$A63)*'NHẬT KÝ CSKH'!$A$3:$A$1000))=0,"",SUMPRODUCT(MAX(('NHẬT KÝ CSKH'!$B$3:$B$1000=$A63)*'NHẬT KÝ CSKH'!$A$3:$A$1000))))</f>
        <v/>
      </c>
      <c r="Q63" s="40">
        <f>IF($B63="","",IF($I63="","",$I63-TODAY()))</f>
        <v/>
      </c>
      <c r="R63" s="40">
        <f>IF($B63="","",IF($O63&gt;=3,2,0)+IF($K63="Còn nợ",2,0)+IF(AND($N63="Đang học",$Q63&lt;&gt;"",$Q63&gt;=0,$Q63&lt;=30),1,0)+IF($P63="",1,IF(TODAY()-$P63&gt;60,1,0)))</f>
        <v/>
      </c>
      <c r="S63" s="40">
        <f>IF($B63="","",IF($R63&gt;=3,"CAO",IF($R63&gt;=1,"TRUNG BÌNH","THẤP")))</f>
        <v/>
      </c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  <c r="AQ63" s="40" t="n"/>
    </row>
    <row r="64">
      <c r="A64" s="40" t="inlineStr">
        <is>
          <t>ORI061</t>
        </is>
      </c>
      <c r="B64" s="46" t="n"/>
      <c r="C64" s="40" t="n"/>
      <c r="D64" s="40" t="n"/>
      <c r="E64" s="40" t="n"/>
      <c r="F64" s="44" t="n"/>
      <c r="G64" s="40" t="n"/>
      <c r="H64" s="40" t="n"/>
      <c r="I64" s="44">
        <f>IFERROR(EDATE(F64,H64),"")</f>
        <v/>
      </c>
      <c r="J64" s="47" t="n"/>
      <c r="K64" s="40" t="n"/>
      <c r="L64" s="40" t="n"/>
      <c r="M64" s="40" t="n"/>
      <c r="N64" s="40" t="n"/>
      <c r="O64" s="40">
        <f>IF($B64="","",IFERROR(INDEX('CHUYÊN CẦN'!$C$3:$N$202,MATCH($A64,'CHUYÊN CẦN'!$A$3:$A$202,0),MONTH(TODAY())),0))</f>
        <v/>
      </c>
      <c r="P64" s="44">
        <f>IF($B64="","",IF(SUMPRODUCT(MAX(('NHẬT KÝ CSKH'!$B$3:$B$1000=$A64)*'NHẬT KÝ CSKH'!$A$3:$A$1000))=0,"",SUMPRODUCT(MAX(('NHẬT KÝ CSKH'!$B$3:$B$1000=$A64)*'NHẬT KÝ CSKH'!$A$3:$A$1000))))</f>
        <v/>
      </c>
      <c r="Q64" s="40">
        <f>IF($B64="","",IF($I64="","",$I64-TODAY()))</f>
        <v/>
      </c>
      <c r="R64" s="40">
        <f>IF($B64="","",IF($O64&gt;=3,2,0)+IF($K64="Còn nợ",2,0)+IF(AND($N64="Đang học",$Q64&lt;&gt;"",$Q64&gt;=0,$Q64&lt;=30),1,0)+IF($P64="",1,IF(TODAY()-$P64&gt;60,1,0)))</f>
        <v/>
      </c>
      <c r="S64" s="40">
        <f>IF($B64="","",IF($R64&gt;=3,"CAO",IF($R64&gt;=1,"TRUNG BÌNH","THẤP")))</f>
        <v/>
      </c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  <c r="AQ64" s="40" t="n"/>
    </row>
    <row r="65">
      <c r="A65" s="40" t="inlineStr">
        <is>
          <t>ORI062</t>
        </is>
      </c>
      <c r="B65" s="46" t="n"/>
      <c r="C65" s="40" t="n"/>
      <c r="D65" s="40" t="n"/>
      <c r="E65" s="40" t="n"/>
      <c r="F65" s="44" t="n"/>
      <c r="G65" s="40" t="n"/>
      <c r="H65" s="40" t="n"/>
      <c r="I65" s="44">
        <f>IFERROR(EDATE(F65,H65),"")</f>
        <v/>
      </c>
      <c r="J65" s="47" t="n"/>
      <c r="K65" s="40" t="n"/>
      <c r="L65" s="40" t="n"/>
      <c r="M65" s="40" t="n"/>
      <c r="N65" s="40" t="n"/>
      <c r="O65" s="40">
        <f>IF($B65="","",IFERROR(INDEX('CHUYÊN CẦN'!$C$3:$N$202,MATCH($A65,'CHUYÊN CẦN'!$A$3:$A$202,0),MONTH(TODAY())),0))</f>
        <v/>
      </c>
      <c r="P65" s="44">
        <f>IF($B65="","",IF(SUMPRODUCT(MAX(('NHẬT KÝ CSKH'!$B$3:$B$1000=$A65)*'NHẬT KÝ CSKH'!$A$3:$A$1000))=0,"",SUMPRODUCT(MAX(('NHẬT KÝ CSKH'!$B$3:$B$1000=$A65)*'NHẬT KÝ CSKH'!$A$3:$A$1000))))</f>
        <v/>
      </c>
      <c r="Q65" s="40">
        <f>IF($B65="","",IF($I65="","",$I65-TODAY()))</f>
        <v/>
      </c>
      <c r="R65" s="40">
        <f>IF($B65="","",IF($O65&gt;=3,2,0)+IF($K65="Còn nợ",2,0)+IF(AND($N65="Đang học",$Q65&lt;&gt;"",$Q65&gt;=0,$Q65&lt;=30),1,0)+IF($P65="",1,IF(TODAY()-$P65&gt;60,1,0)))</f>
        <v/>
      </c>
      <c r="S65" s="40">
        <f>IF($B65="","",IF($R65&gt;=3,"CAO",IF($R65&gt;=1,"TRUNG BÌNH","THẤP")))</f>
        <v/>
      </c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  <c r="AQ65" s="40" t="n"/>
    </row>
    <row r="66">
      <c r="A66" s="40" t="inlineStr">
        <is>
          <t>ORI063</t>
        </is>
      </c>
      <c r="B66" s="46" t="n"/>
      <c r="C66" s="40" t="n"/>
      <c r="D66" s="40" t="n"/>
      <c r="E66" s="40" t="n"/>
      <c r="F66" s="44" t="n"/>
      <c r="G66" s="40" t="n"/>
      <c r="H66" s="40" t="n"/>
      <c r="I66" s="44">
        <f>IFERROR(EDATE(F66,H66),"")</f>
        <v/>
      </c>
      <c r="J66" s="47" t="n"/>
      <c r="K66" s="40" t="n"/>
      <c r="L66" s="40" t="n"/>
      <c r="M66" s="40" t="n"/>
      <c r="N66" s="40" t="n"/>
      <c r="O66" s="40">
        <f>IF($B66="","",IFERROR(INDEX('CHUYÊN CẦN'!$C$3:$N$202,MATCH($A66,'CHUYÊN CẦN'!$A$3:$A$202,0),MONTH(TODAY())),0))</f>
        <v/>
      </c>
      <c r="P66" s="44">
        <f>IF($B66="","",IF(SUMPRODUCT(MAX(('NHẬT KÝ CSKH'!$B$3:$B$1000=$A66)*'NHẬT KÝ CSKH'!$A$3:$A$1000))=0,"",SUMPRODUCT(MAX(('NHẬT KÝ CSKH'!$B$3:$B$1000=$A66)*'NHẬT KÝ CSKH'!$A$3:$A$1000))))</f>
        <v/>
      </c>
      <c r="Q66" s="40">
        <f>IF($B66="","",IF($I66="","",$I66-TODAY()))</f>
        <v/>
      </c>
      <c r="R66" s="40">
        <f>IF($B66="","",IF($O66&gt;=3,2,0)+IF($K66="Còn nợ",2,0)+IF(AND($N66="Đang học",$Q66&lt;&gt;"",$Q66&gt;=0,$Q66&lt;=30),1,0)+IF($P66="",1,IF(TODAY()-$P66&gt;60,1,0)))</f>
        <v/>
      </c>
      <c r="S66" s="40">
        <f>IF($B66="","",IF($R66&gt;=3,"CAO",IF($R66&gt;=1,"TRUNG BÌNH","THẤP")))</f>
        <v/>
      </c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  <c r="AQ66" s="40" t="n"/>
    </row>
    <row r="67">
      <c r="A67" s="40" t="inlineStr">
        <is>
          <t>ORI064</t>
        </is>
      </c>
      <c r="B67" s="46" t="n"/>
      <c r="C67" s="40" t="n"/>
      <c r="D67" s="40" t="n"/>
      <c r="E67" s="40" t="n"/>
      <c r="F67" s="44" t="n"/>
      <c r="G67" s="40" t="n"/>
      <c r="H67" s="40" t="n"/>
      <c r="I67" s="44">
        <f>IFERROR(EDATE(F67,H67),"")</f>
        <v/>
      </c>
      <c r="J67" s="47" t="n"/>
      <c r="K67" s="40" t="n"/>
      <c r="L67" s="40" t="n"/>
      <c r="M67" s="40" t="n"/>
      <c r="N67" s="40" t="n"/>
      <c r="O67" s="40">
        <f>IF($B67="","",IFERROR(INDEX('CHUYÊN CẦN'!$C$3:$N$202,MATCH($A67,'CHUYÊN CẦN'!$A$3:$A$202,0),MONTH(TODAY())),0))</f>
        <v/>
      </c>
      <c r="P67" s="44">
        <f>IF($B67="","",IF(SUMPRODUCT(MAX(('NHẬT KÝ CSKH'!$B$3:$B$1000=$A67)*'NHẬT KÝ CSKH'!$A$3:$A$1000))=0,"",SUMPRODUCT(MAX(('NHẬT KÝ CSKH'!$B$3:$B$1000=$A67)*'NHẬT KÝ CSKH'!$A$3:$A$1000))))</f>
        <v/>
      </c>
      <c r="Q67" s="40">
        <f>IF($B67="","",IF($I67="","",$I67-TODAY()))</f>
        <v/>
      </c>
      <c r="R67" s="40">
        <f>IF($B67="","",IF($O67&gt;=3,2,0)+IF($K67="Còn nợ",2,0)+IF(AND($N67="Đang học",$Q67&lt;&gt;"",$Q67&gt;=0,$Q67&lt;=30),1,0)+IF($P67="",1,IF(TODAY()-$P67&gt;60,1,0)))</f>
        <v/>
      </c>
      <c r="S67" s="40">
        <f>IF($B67="","",IF($R67&gt;=3,"CAO",IF($R67&gt;=1,"TRUNG BÌNH","THẤP")))</f>
        <v/>
      </c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  <c r="AQ67" s="40" t="n"/>
    </row>
    <row r="68">
      <c r="A68" s="40" t="inlineStr">
        <is>
          <t>ORI065</t>
        </is>
      </c>
      <c r="B68" s="46" t="n"/>
      <c r="C68" s="40" t="n"/>
      <c r="D68" s="40" t="n"/>
      <c r="E68" s="40" t="n"/>
      <c r="F68" s="44" t="n"/>
      <c r="G68" s="40" t="n"/>
      <c r="H68" s="40" t="n"/>
      <c r="I68" s="44">
        <f>IFERROR(EDATE(F68,H68),"")</f>
        <v/>
      </c>
      <c r="J68" s="47" t="n"/>
      <c r="K68" s="40" t="n"/>
      <c r="L68" s="40" t="n"/>
      <c r="M68" s="40" t="n"/>
      <c r="N68" s="40" t="n"/>
      <c r="O68" s="40">
        <f>IF($B68="","",IFERROR(INDEX('CHUYÊN CẦN'!$C$3:$N$202,MATCH($A68,'CHUYÊN CẦN'!$A$3:$A$202,0),MONTH(TODAY())),0))</f>
        <v/>
      </c>
      <c r="P68" s="44">
        <f>IF($B68="","",IF(SUMPRODUCT(MAX(('NHẬT KÝ CSKH'!$B$3:$B$1000=$A68)*'NHẬT KÝ CSKH'!$A$3:$A$1000))=0,"",SUMPRODUCT(MAX(('NHẬT KÝ CSKH'!$B$3:$B$1000=$A68)*'NHẬT KÝ CSKH'!$A$3:$A$1000))))</f>
        <v/>
      </c>
      <c r="Q68" s="40">
        <f>IF($B68="","",IF($I68="","",$I68-TODAY()))</f>
        <v/>
      </c>
      <c r="R68" s="40">
        <f>IF($B68="","",IF($O68&gt;=3,2,0)+IF($K68="Còn nợ",2,0)+IF(AND($N68="Đang học",$Q68&lt;&gt;"",$Q68&gt;=0,$Q68&lt;=30),1,0)+IF($P68="",1,IF(TODAY()-$P68&gt;60,1,0)))</f>
        <v/>
      </c>
      <c r="S68" s="40">
        <f>IF($B68="","",IF($R68&gt;=3,"CAO",IF($R68&gt;=1,"TRUNG BÌNH","THẤP")))</f>
        <v/>
      </c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  <c r="AQ68" s="40" t="n"/>
    </row>
    <row r="69">
      <c r="A69" s="40" t="inlineStr">
        <is>
          <t>ORI066</t>
        </is>
      </c>
      <c r="B69" s="46" t="n"/>
      <c r="C69" s="40" t="n"/>
      <c r="D69" s="40" t="n"/>
      <c r="E69" s="40" t="n"/>
      <c r="F69" s="44" t="n"/>
      <c r="G69" s="40" t="n"/>
      <c r="H69" s="40" t="n"/>
      <c r="I69" s="44">
        <f>IFERROR(EDATE(F69,H69),"")</f>
        <v/>
      </c>
      <c r="J69" s="47" t="n"/>
      <c r="K69" s="40" t="n"/>
      <c r="L69" s="40" t="n"/>
      <c r="M69" s="40" t="n"/>
      <c r="N69" s="40" t="n"/>
      <c r="O69" s="40">
        <f>IF($B69="","",IFERROR(INDEX('CHUYÊN CẦN'!$C$3:$N$202,MATCH($A69,'CHUYÊN CẦN'!$A$3:$A$202,0),MONTH(TODAY())),0))</f>
        <v/>
      </c>
      <c r="P69" s="44">
        <f>IF($B69="","",IF(SUMPRODUCT(MAX(('NHẬT KÝ CSKH'!$B$3:$B$1000=$A69)*'NHẬT KÝ CSKH'!$A$3:$A$1000))=0,"",SUMPRODUCT(MAX(('NHẬT KÝ CSKH'!$B$3:$B$1000=$A69)*'NHẬT KÝ CSKH'!$A$3:$A$1000))))</f>
        <v/>
      </c>
      <c r="Q69" s="40">
        <f>IF($B69="","",IF($I69="","",$I69-TODAY()))</f>
        <v/>
      </c>
      <c r="R69" s="40">
        <f>IF($B69="","",IF($O69&gt;=3,2,0)+IF($K69="Còn nợ",2,0)+IF(AND($N69="Đang học",$Q69&lt;&gt;"",$Q69&gt;=0,$Q69&lt;=30),1,0)+IF($P69="",1,IF(TODAY()-$P69&gt;60,1,0)))</f>
        <v/>
      </c>
      <c r="S69" s="40">
        <f>IF($B69="","",IF($R69&gt;=3,"CAO",IF($R69&gt;=1,"TRUNG BÌNH","THẤP")))</f>
        <v/>
      </c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  <c r="AQ69" s="40" t="n"/>
    </row>
    <row r="70">
      <c r="A70" s="40" t="inlineStr">
        <is>
          <t>ORI067</t>
        </is>
      </c>
      <c r="B70" s="46" t="n"/>
      <c r="C70" s="40" t="n"/>
      <c r="D70" s="40" t="n"/>
      <c r="E70" s="40" t="n"/>
      <c r="F70" s="44" t="n"/>
      <c r="G70" s="40" t="n"/>
      <c r="H70" s="40" t="n"/>
      <c r="I70" s="44">
        <f>IFERROR(EDATE(F70,H70),"")</f>
        <v/>
      </c>
      <c r="J70" s="47" t="n"/>
      <c r="K70" s="40" t="n"/>
      <c r="L70" s="40" t="n"/>
      <c r="M70" s="40" t="n"/>
      <c r="N70" s="40" t="n"/>
      <c r="O70" s="40">
        <f>IF($B70="","",IFERROR(INDEX('CHUYÊN CẦN'!$C$3:$N$202,MATCH($A70,'CHUYÊN CẦN'!$A$3:$A$202,0),MONTH(TODAY())),0))</f>
        <v/>
      </c>
      <c r="P70" s="44">
        <f>IF($B70="","",IF(SUMPRODUCT(MAX(('NHẬT KÝ CSKH'!$B$3:$B$1000=$A70)*'NHẬT KÝ CSKH'!$A$3:$A$1000))=0,"",SUMPRODUCT(MAX(('NHẬT KÝ CSKH'!$B$3:$B$1000=$A70)*'NHẬT KÝ CSKH'!$A$3:$A$1000))))</f>
        <v/>
      </c>
      <c r="Q70" s="40">
        <f>IF($B70="","",IF($I70="","",$I70-TODAY()))</f>
        <v/>
      </c>
      <c r="R70" s="40">
        <f>IF($B70="","",IF($O70&gt;=3,2,0)+IF($K70="Còn nợ",2,0)+IF(AND($N70="Đang học",$Q70&lt;&gt;"",$Q70&gt;=0,$Q70&lt;=30),1,0)+IF($P70="",1,IF(TODAY()-$P70&gt;60,1,0)))</f>
        <v/>
      </c>
      <c r="S70" s="40">
        <f>IF($B70="","",IF($R70&gt;=3,"CAO",IF($R70&gt;=1,"TRUNG BÌNH","THẤP")))</f>
        <v/>
      </c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  <c r="AQ70" s="40" t="n"/>
    </row>
    <row r="71">
      <c r="A71" s="40" t="inlineStr">
        <is>
          <t>ORI068</t>
        </is>
      </c>
      <c r="B71" s="46" t="n"/>
      <c r="C71" s="40" t="n"/>
      <c r="D71" s="40" t="n"/>
      <c r="E71" s="40" t="n"/>
      <c r="F71" s="44" t="n"/>
      <c r="G71" s="40" t="n"/>
      <c r="H71" s="40" t="n"/>
      <c r="I71" s="44">
        <f>IFERROR(EDATE(F71,H71),"")</f>
        <v/>
      </c>
      <c r="J71" s="47" t="n"/>
      <c r="K71" s="40" t="n"/>
      <c r="L71" s="40" t="n"/>
      <c r="M71" s="40" t="n"/>
      <c r="N71" s="40" t="n"/>
      <c r="O71" s="40">
        <f>IF($B71="","",IFERROR(INDEX('CHUYÊN CẦN'!$C$3:$N$202,MATCH($A71,'CHUYÊN CẦN'!$A$3:$A$202,0),MONTH(TODAY())),0))</f>
        <v/>
      </c>
      <c r="P71" s="44">
        <f>IF($B71="","",IF(SUMPRODUCT(MAX(('NHẬT KÝ CSKH'!$B$3:$B$1000=$A71)*'NHẬT KÝ CSKH'!$A$3:$A$1000))=0,"",SUMPRODUCT(MAX(('NHẬT KÝ CSKH'!$B$3:$B$1000=$A71)*'NHẬT KÝ CSKH'!$A$3:$A$1000))))</f>
        <v/>
      </c>
      <c r="Q71" s="40">
        <f>IF($B71="","",IF($I71="","",$I71-TODAY()))</f>
        <v/>
      </c>
      <c r="R71" s="40">
        <f>IF($B71="","",IF($O71&gt;=3,2,0)+IF($K71="Còn nợ",2,0)+IF(AND($N71="Đang học",$Q71&lt;&gt;"",$Q71&gt;=0,$Q71&lt;=30),1,0)+IF($P71="",1,IF(TODAY()-$P71&gt;60,1,0)))</f>
        <v/>
      </c>
      <c r="S71" s="40">
        <f>IF($B71="","",IF($R71&gt;=3,"CAO",IF($R71&gt;=1,"TRUNG BÌNH","THẤP")))</f>
        <v/>
      </c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  <c r="AO71" s="40" t="n"/>
      <c r="AP71" s="40" t="n"/>
      <c r="AQ71" s="40" t="n"/>
    </row>
    <row r="72">
      <c r="A72" s="40" t="inlineStr">
        <is>
          <t>ORI069</t>
        </is>
      </c>
      <c r="B72" s="46" t="n"/>
      <c r="C72" s="40" t="n"/>
      <c r="D72" s="40" t="n"/>
      <c r="E72" s="40" t="n"/>
      <c r="F72" s="44" t="n"/>
      <c r="G72" s="40" t="n"/>
      <c r="H72" s="40" t="n"/>
      <c r="I72" s="44">
        <f>IFERROR(EDATE(F72,H72),"")</f>
        <v/>
      </c>
      <c r="J72" s="47" t="n"/>
      <c r="K72" s="40" t="n"/>
      <c r="L72" s="40" t="n"/>
      <c r="M72" s="40" t="n"/>
      <c r="N72" s="40" t="n"/>
      <c r="O72" s="40">
        <f>IF($B72="","",IFERROR(INDEX('CHUYÊN CẦN'!$C$3:$N$202,MATCH($A72,'CHUYÊN CẦN'!$A$3:$A$202,0),MONTH(TODAY())),0))</f>
        <v/>
      </c>
      <c r="P72" s="44">
        <f>IF($B72="","",IF(SUMPRODUCT(MAX(('NHẬT KÝ CSKH'!$B$3:$B$1000=$A72)*'NHẬT KÝ CSKH'!$A$3:$A$1000))=0,"",SUMPRODUCT(MAX(('NHẬT KÝ CSKH'!$B$3:$B$1000=$A72)*'NHẬT KÝ CSKH'!$A$3:$A$1000))))</f>
        <v/>
      </c>
      <c r="Q72" s="40">
        <f>IF($B72="","",IF($I72="","",$I72-TODAY()))</f>
        <v/>
      </c>
      <c r="R72" s="40">
        <f>IF($B72="","",IF($O72&gt;=3,2,0)+IF($K72="Còn nợ",2,0)+IF(AND($N72="Đang học",$Q72&lt;&gt;"",$Q72&gt;=0,$Q72&lt;=30),1,0)+IF($P72="",1,IF(TODAY()-$P72&gt;60,1,0)))</f>
        <v/>
      </c>
      <c r="S72" s="40">
        <f>IF($B72="","",IF($R72&gt;=3,"CAO",IF($R72&gt;=1,"TRUNG BÌNH","THẤP")))</f>
        <v/>
      </c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  <c r="AO72" s="40" t="n"/>
      <c r="AP72" s="40" t="n"/>
      <c r="AQ72" s="40" t="n"/>
    </row>
    <row r="73">
      <c r="A73" s="40" t="inlineStr">
        <is>
          <t>ORI070</t>
        </is>
      </c>
      <c r="B73" s="46" t="n"/>
      <c r="C73" s="40" t="n"/>
      <c r="D73" s="40" t="n"/>
      <c r="E73" s="40" t="n"/>
      <c r="F73" s="44" t="n"/>
      <c r="G73" s="40" t="n"/>
      <c r="H73" s="40" t="n"/>
      <c r="I73" s="44">
        <f>IFERROR(EDATE(F73,H73),"")</f>
        <v/>
      </c>
      <c r="J73" s="47" t="n"/>
      <c r="K73" s="40" t="n"/>
      <c r="L73" s="40" t="n"/>
      <c r="M73" s="40" t="n"/>
      <c r="N73" s="40" t="n"/>
      <c r="O73" s="40">
        <f>IF($B73="","",IFERROR(INDEX('CHUYÊN CẦN'!$C$3:$N$202,MATCH($A73,'CHUYÊN CẦN'!$A$3:$A$202,0),MONTH(TODAY())),0))</f>
        <v/>
      </c>
      <c r="P73" s="44">
        <f>IF($B73="","",IF(SUMPRODUCT(MAX(('NHẬT KÝ CSKH'!$B$3:$B$1000=$A73)*'NHẬT KÝ CSKH'!$A$3:$A$1000))=0,"",SUMPRODUCT(MAX(('NHẬT KÝ CSKH'!$B$3:$B$1000=$A73)*'NHẬT KÝ CSKH'!$A$3:$A$1000))))</f>
        <v/>
      </c>
      <c r="Q73" s="40">
        <f>IF($B73="","",IF($I73="","",$I73-TODAY()))</f>
        <v/>
      </c>
      <c r="R73" s="40">
        <f>IF($B73="","",IF($O73&gt;=3,2,0)+IF($K73="Còn nợ",2,0)+IF(AND($N73="Đang học",$Q73&lt;&gt;"",$Q73&gt;=0,$Q73&lt;=30),1,0)+IF($P73="",1,IF(TODAY()-$P73&gt;60,1,0)))</f>
        <v/>
      </c>
      <c r="S73" s="40">
        <f>IF($B73="","",IF($R73&gt;=3,"CAO",IF($R73&gt;=1,"TRUNG BÌNH","THẤP")))</f>
        <v/>
      </c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  <c r="AO73" s="40" t="n"/>
      <c r="AP73" s="40" t="n"/>
      <c r="AQ73" s="40" t="n"/>
    </row>
    <row r="74">
      <c r="A74" s="40" t="inlineStr">
        <is>
          <t>ORI071</t>
        </is>
      </c>
      <c r="B74" s="46" t="n"/>
      <c r="C74" s="40" t="n"/>
      <c r="D74" s="40" t="n"/>
      <c r="E74" s="40" t="n"/>
      <c r="F74" s="44" t="n"/>
      <c r="G74" s="40" t="n"/>
      <c r="H74" s="40" t="n"/>
      <c r="I74" s="44">
        <f>IFERROR(EDATE(F74,H74),"")</f>
        <v/>
      </c>
      <c r="J74" s="47" t="n"/>
      <c r="K74" s="40" t="n"/>
      <c r="L74" s="40" t="n"/>
      <c r="M74" s="40" t="n"/>
      <c r="N74" s="40" t="n"/>
      <c r="O74" s="40">
        <f>IF($B74="","",IFERROR(INDEX('CHUYÊN CẦN'!$C$3:$N$202,MATCH($A74,'CHUYÊN CẦN'!$A$3:$A$202,0),MONTH(TODAY())),0))</f>
        <v/>
      </c>
      <c r="P74" s="44">
        <f>IF($B74="","",IF(SUMPRODUCT(MAX(('NHẬT KÝ CSKH'!$B$3:$B$1000=$A74)*'NHẬT KÝ CSKH'!$A$3:$A$1000))=0,"",SUMPRODUCT(MAX(('NHẬT KÝ CSKH'!$B$3:$B$1000=$A74)*'NHẬT KÝ CSKH'!$A$3:$A$1000))))</f>
        <v/>
      </c>
      <c r="Q74" s="40">
        <f>IF($B74="","",IF($I74="","",$I74-TODAY()))</f>
        <v/>
      </c>
      <c r="R74" s="40">
        <f>IF($B74="","",IF($O74&gt;=3,2,0)+IF($K74="Còn nợ",2,0)+IF(AND($N74="Đang học",$Q74&lt;&gt;"",$Q74&gt;=0,$Q74&lt;=30),1,0)+IF($P74="",1,IF(TODAY()-$P74&gt;60,1,0)))</f>
        <v/>
      </c>
      <c r="S74" s="40">
        <f>IF($B74="","",IF($R74&gt;=3,"CAO",IF($R74&gt;=1,"TRUNG BÌNH","THẤP")))</f>
        <v/>
      </c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</row>
    <row r="75">
      <c r="A75" s="40" t="inlineStr">
        <is>
          <t>ORI072</t>
        </is>
      </c>
      <c r="B75" s="46" t="n"/>
      <c r="C75" s="40" t="n"/>
      <c r="D75" s="40" t="n"/>
      <c r="E75" s="40" t="n"/>
      <c r="F75" s="44" t="n"/>
      <c r="G75" s="40" t="n"/>
      <c r="H75" s="40" t="n"/>
      <c r="I75" s="44">
        <f>IFERROR(EDATE(F75,H75),"")</f>
        <v/>
      </c>
      <c r="J75" s="47" t="n"/>
      <c r="K75" s="40" t="n"/>
      <c r="L75" s="40" t="n"/>
      <c r="M75" s="40" t="n"/>
      <c r="N75" s="40" t="n"/>
      <c r="O75" s="40">
        <f>IF($B75="","",IFERROR(INDEX('CHUYÊN CẦN'!$C$3:$N$202,MATCH($A75,'CHUYÊN CẦN'!$A$3:$A$202,0),MONTH(TODAY())),0))</f>
        <v/>
      </c>
      <c r="P75" s="44">
        <f>IF($B75="","",IF(SUMPRODUCT(MAX(('NHẬT KÝ CSKH'!$B$3:$B$1000=$A75)*'NHẬT KÝ CSKH'!$A$3:$A$1000))=0,"",SUMPRODUCT(MAX(('NHẬT KÝ CSKH'!$B$3:$B$1000=$A75)*'NHẬT KÝ CSKH'!$A$3:$A$1000))))</f>
        <v/>
      </c>
      <c r="Q75" s="40">
        <f>IF($B75="","",IF($I75="","",$I75-TODAY()))</f>
        <v/>
      </c>
      <c r="R75" s="40">
        <f>IF($B75="","",IF($O75&gt;=3,2,0)+IF($K75="Còn nợ",2,0)+IF(AND($N75="Đang học",$Q75&lt;&gt;"",$Q75&gt;=0,$Q75&lt;=30),1,0)+IF($P75="",1,IF(TODAY()-$P75&gt;60,1,0)))</f>
        <v/>
      </c>
      <c r="S75" s="40">
        <f>IF($B75="","",IF($R75&gt;=3,"CAO",IF($R75&gt;=1,"TRUNG BÌNH","THẤP")))</f>
        <v/>
      </c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  <c r="AP75" s="40" t="n"/>
      <c r="AQ75" s="40" t="n"/>
    </row>
    <row r="76">
      <c r="A76" s="40" t="inlineStr">
        <is>
          <t>ORI073</t>
        </is>
      </c>
      <c r="B76" s="46" t="n"/>
      <c r="C76" s="40" t="n"/>
      <c r="D76" s="40" t="n"/>
      <c r="E76" s="40" t="n"/>
      <c r="F76" s="44" t="n"/>
      <c r="G76" s="40" t="n"/>
      <c r="H76" s="40" t="n"/>
      <c r="I76" s="44">
        <f>IFERROR(EDATE(F76,H76),"")</f>
        <v/>
      </c>
      <c r="J76" s="47" t="n"/>
      <c r="K76" s="40" t="n"/>
      <c r="L76" s="40" t="n"/>
      <c r="M76" s="40" t="n"/>
      <c r="N76" s="40" t="n"/>
      <c r="O76" s="40">
        <f>IF($B76="","",IFERROR(INDEX('CHUYÊN CẦN'!$C$3:$N$202,MATCH($A76,'CHUYÊN CẦN'!$A$3:$A$202,0),MONTH(TODAY())),0))</f>
        <v/>
      </c>
      <c r="P76" s="44">
        <f>IF($B76="","",IF(SUMPRODUCT(MAX(('NHẬT KÝ CSKH'!$B$3:$B$1000=$A76)*'NHẬT KÝ CSKH'!$A$3:$A$1000))=0,"",SUMPRODUCT(MAX(('NHẬT KÝ CSKH'!$B$3:$B$1000=$A76)*'NHẬT KÝ CSKH'!$A$3:$A$1000))))</f>
        <v/>
      </c>
      <c r="Q76" s="40">
        <f>IF($B76="","",IF($I76="","",$I76-TODAY()))</f>
        <v/>
      </c>
      <c r="R76" s="40">
        <f>IF($B76="","",IF($O76&gt;=3,2,0)+IF($K76="Còn nợ",2,0)+IF(AND($N76="Đang học",$Q76&lt;&gt;"",$Q76&gt;=0,$Q76&lt;=30),1,0)+IF($P76="",1,IF(TODAY()-$P76&gt;60,1,0)))</f>
        <v/>
      </c>
      <c r="S76" s="40">
        <f>IF($B76="","",IF($R76&gt;=3,"CAO",IF($R76&gt;=1,"TRUNG BÌNH","THẤP")))</f>
        <v/>
      </c>
      <c r="T76" s="40" t="n"/>
      <c r="U76" s="40" t="n"/>
      <c r="V76" s="40" t="n"/>
      <c r="W76" s="40" t="n"/>
      <c r="X76" s="40" t="n"/>
      <c r="Y76" s="40" t="n"/>
      <c r="Z76" s="40" t="n"/>
      <c r="AA76" s="40" t="n"/>
      <c r="AB76" s="40" t="n"/>
      <c r="AC76" s="40" t="n"/>
      <c r="AD76" s="40" t="n"/>
      <c r="AE76" s="40" t="n"/>
      <c r="AF76" s="40" t="n"/>
      <c r="AG76" s="40" t="n"/>
      <c r="AH76" s="40" t="n"/>
      <c r="AI76" s="40" t="n"/>
      <c r="AJ76" s="40" t="n"/>
      <c r="AK76" s="40" t="n"/>
      <c r="AL76" s="40" t="n"/>
      <c r="AM76" s="40" t="n"/>
      <c r="AN76" s="40" t="n"/>
      <c r="AO76" s="40" t="n"/>
      <c r="AP76" s="40" t="n"/>
      <c r="AQ76" s="40" t="n"/>
    </row>
    <row r="77">
      <c r="A77" s="40" t="inlineStr">
        <is>
          <t>ORI074</t>
        </is>
      </c>
      <c r="B77" s="46" t="n"/>
      <c r="C77" s="40" t="n"/>
      <c r="D77" s="40" t="n"/>
      <c r="E77" s="40" t="n"/>
      <c r="F77" s="44" t="n"/>
      <c r="G77" s="40" t="n"/>
      <c r="H77" s="40" t="n"/>
      <c r="I77" s="44">
        <f>IFERROR(EDATE(F77,H77),"")</f>
        <v/>
      </c>
      <c r="J77" s="47" t="n"/>
      <c r="K77" s="40" t="n"/>
      <c r="L77" s="40" t="n"/>
      <c r="M77" s="40" t="n"/>
      <c r="N77" s="40" t="n"/>
      <c r="O77" s="40">
        <f>IF($B77="","",IFERROR(INDEX('CHUYÊN CẦN'!$C$3:$N$202,MATCH($A77,'CHUYÊN CẦN'!$A$3:$A$202,0),MONTH(TODAY())),0))</f>
        <v/>
      </c>
      <c r="P77" s="44">
        <f>IF($B77="","",IF(SUMPRODUCT(MAX(('NHẬT KÝ CSKH'!$B$3:$B$1000=$A77)*'NHẬT KÝ CSKH'!$A$3:$A$1000))=0,"",SUMPRODUCT(MAX(('NHẬT KÝ CSKH'!$B$3:$B$1000=$A77)*'NHẬT KÝ CSKH'!$A$3:$A$1000))))</f>
        <v/>
      </c>
      <c r="Q77" s="40">
        <f>IF($B77="","",IF($I77="","",$I77-TODAY()))</f>
        <v/>
      </c>
      <c r="R77" s="40">
        <f>IF($B77="","",IF($O77&gt;=3,2,0)+IF($K77="Còn nợ",2,0)+IF(AND($N77="Đang học",$Q77&lt;&gt;"",$Q77&gt;=0,$Q77&lt;=30),1,0)+IF($P77="",1,IF(TODAY()-$P77&gt;60,1,0)))</f>
        <v/>
      </c>
      <c r="S77" s="40">
        <f>IF($B77="","",IF($R77&gt;=3,"CAO",IF($R77&gt;=1,"TRUNG BÌNH","THẤP")))</f>
        <v/>
      </c>
      <c r="T77" s="40" t="n"/>
      <c r="U77" s="40" t="n"/>
      <c r="V77" s="40" t="n"/>
      <c r="W77" s="40" t="n"/>
      <c r="X77" s="40" t="n"/>
      <c r="Y77" s="40" t="n"/>
      <c r="Z77" s="40" t="n"/>
      <c r="AA77" s="40" t="n"/>
      <c r="AB77" s="40" t="n"/>
      <c r="AC77" s="40" t="n"/>
      <c r="AD77" s="40" t="n"/>
      <c r="AE77" s="40" t="n"/>
      <c r="AF77" s="40" t="n"/>
      <c r="AG77" s="40" t="n"/>
      <c r="AH77" s="40" t="n"/>
      <c r="AI77" s="40" t="n"/>
      <c r="AJ77" s="40" t="n"/>
      <c r="AK77" s="40" t="n"/>
      <c r="AL77" s="40" t="n"/>
      <c r="AM77" s="40" t="n"/>
      <c r="AN77" s="40" t="n"/>
      <c r="AO77" s="40" t="n"/>
      <c r="AP77" s="40" t="n"/>
      <c r="AQ77" s="40" t="n"/>
    </row>
    <row r="78">
      <c r="A78" s="40" t="inlineStr">
        <is>
          <t>ORI075</t>
        </is>
      </c>
      <c r="B78" s="46" t="n"/>
      <c r="C78" s="40" t="n"/>
      <c r="D78" s="40" t="n"/>
      <c r="E78" s="40" t="n"/>
      <c r="F78" s="44" t="n"/>
      <c r="G78" s="40" t="n"/>
      <c r="H78" s="40" t="n"/>
      <c r="I78" s="44">
        <f>IFERROR(EDATE(F78,H78),"")</f>
        <v/>
      </c>
      <c r="J78" s="47" t="n"/>
      <c r="K78" s="40" t="n"/>
      <c r="L78" s="40" t="n"/>
      <c r="M78" s="40" t="n"/>
      <c r="N78" s="40" t="n"/>
      <c r="O78" s="40">
        <f>IF($B78="","",IFERROR(INDEX('CHUYÊN CẦN'!$C$3:$N$202,MATCH($A78,'CHUYÊN CẦN'!$A$3:$A$202,0),MONTH(TODAY())),0))</f>
        <v/>
      </c>
      <c r="P78" s="44">
        <f>IF($B78="","",IF(SUMPRODUCT(MAX(('NHẬT KÝ CSKH'!$B$3:$B$1000=$A78)*'NHẬT KÝ CSKH'!$A$3:$A$1000))=0,"",SUMPRODUCT(MAX(('NHẬT KÝ CSKH'!$B$3:$B$1000=$A78)*'NHẬT KÝ CSKH'!$A$3:$A$1000))))</f>
        <v/>
      </c>
      <c r="Q78" s="40">
        <f>IF($B78="","",IF($I78="","",$I78-TODAY()))</f>
        <v/>
      </c>
      <c r="R78" s="40">
        <f>IF($B78="","",IF($O78&gt;=3,2,0)+IF($K78="Còn nợ",2,0)+IF(AND($N78="Đang học",$Q78&lt;&gt;"",$Q78&gt;=0,$Q78&lt;=30),1,0)+IF($P78="",1,IF(TODAY()-$P78&gt;60,1,0)))</f>
        <v/>
      </c>
      <c r="S78" s="40">
        <f>IF($B78="","",IF($R78&gt;=3,"CAO",IF($R78&gt;=1,"TRUNG BÌNH","THẤP")))</f>
        <v/>
      </c>
      <c r="T78" s="40" t="n"/>
      <c r="U78" s="40" t="n"/>
      <c r="V78" s="40" t="n"/>
      <c r="W78" s="40" t="n"/>
      <c r="X78" s="40" t="n"/>
      <c r="Y78" s="40" t="n"/>
      <c r="Z78" s="40" t="n"/>
      <c r="AA78" s="40" t="n"/>
      <c r="AB78" s="40" t="n"/>
      <c r="AC78" s="40" t="n"/>
      <c r="AD78" s="40" t="n"/>
      <c r="AE78" s="40" t="n"/>
      <c r="AF78" s="40" t="n"/>
      <c r="AG78" s="40" t="n"/>
      <c r="AH78" s="40" t="n"/>
      <c r="AI78" s="40" t="n"/>
      <c r="AJ78" s="40" t="n"/>
      <c r="AK78" s="40" t="n"/>
      <c r="AL78" s="40" t="n"/>
      <c r="AM78" s="40" t="n"/>
      <c r="AN78" s="40" t="n"/>
      <c r="AO78" s="40" t="n"/>
      <c r="AP78" s="40" t="n"/>
      <c r="AQ78" s="40" t="n"/>
    </row>
    <row r="79">
      <c r="A79" s="40" t="inlineStr">
        <is>
          <t>ORI076</t>
        </is>
      </c>
      <c r="B79" s="46" t="n"/>
      <c r="C79" s="40" t="n"/>
      <c r="D79" s="40" t="n"/>
      <c r="E79" s="40" t="n"/>
      <c r="F79" s="44" t="n"/>
      <c r="G79" s="40" t="n"/>
      <c r="H79" s="40" t="n"/>
      <c r="I79" s="44">
        <f>IFERROR(EDATE(F79,H79),"")</f>
        <v/>
      </c>
      <c r="J79" s="47" t="n"/>
      <c r="K79" s="40" t="n"/>
      <c r="L79" s="40" t="n"/>
      <c r="M79" s="40" t="n"/>
      <c r="N79" s="40" t="n"/>
      <c r="O79" s="40">
        <f>IF($B79="","",IFERROR(INDEX('CHUYÊN CẦN'!$C$3:$N$202,MATCH($A79,'CHUYÊN CẦN'!$A$3:$A$202,0),MONTH(TODAY())),0))</f>
        <v/>
      </c>
      <c r="P79" s="44">
        <f>IF($B79="","",IF(SUMPRODUCT(MAX(('NHẬT KÝ CSKH'!$B$3:$B$1000=$A79)*'NHẬT KÝ CSKH'!$A$3:$A$1000))=0,"",SUMPRODUCT(MAX(('NHẬT KÝ CSKH'!$B$3:$B$1000=$A79)*'NHẬT KÝ CSKH'!$A$3:$A$1000))))</f>
        <v/>
      </c>
      <c r="Q79" s="40">
        <f>IF($B79="","",IF($I79="","",$I79-TODAY()))</f>
        <v/>
      </c>
      <c r="R79" s="40">
        <f>IF($B79="","",IF($O79&gt;=3,2,0)+IF($K79="Còn nợ",2,0)+IF(AND($N79="Đang học",$Q79&lt;&gt;"",$Q79&gt;=0,$Q79&lt;=30),1,0)+IF($P79="",1,IF(TODAY()-$P79&gt;60,1,0)))</f>
        <v/>
      </c>
      <c r="S79" s="40">
        <f>IF($B79="","",IF($R79&gt;=3,"CAO",IF($R79&gt;=1,"TRUNG BÌNH","THẤP")))</f>
        <v/>
      </c>
      <c r="T79" s="40" t="n"/>
      <c r="U79" s="40" t="n"/>
      <c r="V79" s="40" t="n"/>
      <c r="W79" s="40" t="n"/>
      <c r="X79" s="40" t="n"/>
      <c r="Y79" s="40" t="n"/>
      <c r="Z79" s="40" t="n"/>
      <c r="AA79" s="40" t="n"/>
      <c r="AB79" s="40" t="n"/>
      <c r="AC79" s="40" t="n"/>
      <c r="AD79" s="40" t="n"/>
      <c r="AE79" s="40" t="n"/>
      <c r="AF79" s="40" t="n"/>
      <c r="AG79" s="40" t="n"/>
      <c r="AH79" s="40" t="n"/>
      <c r="AI79" s="40" t="n"/>
      <c r="AJ79" s="40" t="n"/>
      <c r="AK79" s="40" t="n"/>
      <c r="AL79" s="40" t="n"/>
      <c r="AM79" s="40" t="n"/>
      <c r="AN79" s="40" t="n"/>
      <c r="AO79" s="40" t="n"/>
      <c r="AP79" s="40" t="n"/>
      <c r="AQ79" s="40" t="n"/>
    </row>
    <row r="80">
      <c r="A80" s="40" t="inlineStr">
        <is>
          <t>ORI077</t>
        </is>
      </c>
      <c r="B80" s="46" t="n"/>
      <c r="C80" s="40" t="n"/>
      <c r="D80" s="40" t="n"/>
      <c r="E80" s="40" t="n"/>
      <c r="F80" s="44" t="n"/>
      <c r="G80" s="40" t="n"/>
      <c r="H80" s="40" t="n"/>
      <c r="I80" s="44">
        <f>IFERROR(EDATE(F80,H80),"")</f>
        <v/>
      </c>
      <c r="J80" s="47" t="n"/>
      <c r="K80" s="40" t="n"/>
      <c r="L80" s="40" t="n"/>
      <c r="M80" s="40" t="n"/>
      <c r="N80" s="40" t="n"/>
      <c r="O80" s="40">
        <f>IF($B80="","",IFERROR(INDEX('CHUYÊN CẦN'!$C$3:$N$202,MATCH($A80,'CHUYÊN CẦN'!$A$3:$A$202,0),MONTH(TODAY())),0))</f>
        <v/>
      </c>
      <c r="P80" s="44">
        <f>IF($B80="","",IF(SUMPRODUCT(MAX(('NHẬT KÝ CSKH'!$B$3:$B$1000=$A80)*'NHẬT KÝ CSKH'!$A$3:$A$1000))=0,"",SUMPRODUCT(MAX(('NHẬT KÝ CSKH'!$B$3:$B$1000=$A80)*'NHẬT KÝ CSKH'!$A$3:$A$1000))))</f>
        <v/>
      </c>
      <c r="Q80" s="40">
        <f>IF($B80="","",IF($I80="","",$I80-TODAY()))</f>
        <v/>
      </c>
      <c r="R80" s="40">
        <f>IF($B80="","",IF($O80&gt;=3,2,0)+IF($K80="Còn nợ",2,0)+IF(AND($N80="Đang học",$Q80&lt;&gt;"",$Q80&gt;=0,$Q80&lt;=30),1,0)+IF($P80="",1,IF(TODAY()-$P80&gt;60,1,0)))</f>
        <v/>
      </c>
      <c r="S80" s="40">
        <f>IF($B80="","",IF($R80&gt;=3,"CAO",IF($R80&gt;=1,"TRUNG BÌNH","THẤP")))</f>
        <v/>
      </c>
      <c r="T80" s="40" t="n"/>
      <c r="U80" s="40" t="n"/>
      <c r="V80" s="40" t="n"/>
      <c r="W80" s="40" t="n"/>
      <c r="X80" s="40" t="n"/>
      <c r="Y80" s="40" t="n"/>
      <c r="Z80" s="40" t="n"/>
      <c r="AA80" s="40" t="n"/>
      <c r="AB80" s="40" t="n"/>
      <c r="AC80" s="40" t="n"/>
      <c r="AD80" s="40" t="n"/>
      <c r="AE80" s="40" t="n"/>
      <c r="AF80" s="40" t="n"/>
      <c r="AG80" s="40" t="n"/>
      <c r="AH80" s="40" t="n"/>
      <c r="AI80" s="40" t="n"/>
      <c r="AJ80" s="40" t="n"/>
      <c r="AK80" s="40" t="n"/>
      <c r="AL80" s="40" t="n"/>
      <c r="AM80" s="40" t="n"/>
      <c r="AN80" s="40" t="n"/>
      <c r="AO80" s="40" t="n"/>
      <c r="AP80" s="40" t="n"/>
      <c r="AQ80" s="40" t="n"/>
    </row>
    <row r="81">
      <c r="A81" s="40" t="inlineStr">
        <is>
          <t>ORI078</t>
        </is>
      </c>
      <c r="B81" s="46" t="n"/>
      <c r="C81" s="40" t="n"/>
      <c r="D81" s="40" t="n"/>
      <c r="E81" s="40" t="n"/>
      <c r="F81" s="44" t="n"/>
      <c r="G81" s="40" t="n"/>
      <c r="H81" s="40" t="n"/>
      <c r="I81" s="44">
        <f>IFERROR(EDATE(F81,H81),"")</f>
        <v/>
      </c>
      <c r="J81" s="47" t="n"/>
      <c r="K81" s="40" t="n"/>
      <c r="L81" s="40" t="n"/>
      <c r="M81" s="40" t="n"/>
      <c r="N81" s="40" t="n"/>
      <c r="O81" s="40">
        <f>IF($B81="","",IFERROR(INDEX('CHUYÊN CẦN'!$C$3:$N$202,MATCH($A81,'CHUYÊN CẦN'!$A$3:$A$202,0),MONTH(TODAY())),0))</f>
        <v/>
      </c>
      <c r="P81" s="44">
        <f>IF($B81="","",IF(SUMPRODUCT(MAX(('NHẬT KÝ CSKH'!$B$3:$B$1000=$A81)*'NHẬT KÝ CSKH'!$A$3:$A$1000))=0,"",SUMPRODUCT(MAX(('NHẬT KÝ CSKH'!$B$3:$B$1000=$A81)*'NHẬT KÝ CSKH'!$A$3:$A$1000))))</f>
        <v/>
      </c>
      <c r="Q81" s="40">
        <f>IF($B81="","",IF($I81="","",$I81-TODAY()))</f>
        <v/>
      </c>
      <c r="R81" s="40">
        <f>IF($B81="","",IF($O81&gt;=3,2,0)+IF($K81="Còn nợ",2,0)+IF(AND($N81="Đang học",$Q81&lt;&gt;"",$Q81&gt;=0,$Q81&lt;=30),1,0)+IF($P81="",1,IF(TODAY()-$P81&gt;60,1,0)))</f>
        <v/>
      </c>
      <c r="S81" s="40">
        <f>IF($B81="","",IF($R81&gt;=3,"CAO",IF($R81&gt;=1,"TRUNG BÌNH","THẤP")))</f>
        <v/>
      </c>
      <c r="T81" s="40" t="n"/>
      <c r="U81" s="40" t="n"/>
      <c r="V81" s="40" t="n"/>
      <c r="W81" s="40" t="n"/>
      <c r="X81" s="40" t="n"/>
      <c r="Y81" s="40" t="n"/>
      <c r="Z81" s="40" t="n"/>
      <c r="AA81" s="40" t="n"/>
      <c r="AB81" s="40" t="n"/>
      <c r="AC81" s="40" t="n"/>
      <c r="AD81" s="40" t="n"/>
      <c r="AE81" s="40" t="n"/>
      <c r="AF81" s="40" t="n"/>
      <c r="AG81" s="40" t="n"/>
      <c r="AH81" s="40" t="n"/>
      <c r="AI81" s="40" t="n"/>
      <c r="AJ81" s="40" t="n"/>
      <c r="AK81" s="40" t="n"/>
      <c r="AL81" s="40" t="n"/>
      <c r="AM81" s="40" t="n"/>
      <c r="AN81" s="40" t="n"/>
      <c r="AO81" s="40" t="n"/>
      <c r="AP81" s="40" t="n"/>
      <c r="AQ81" s="40" t="n"/>
    </row>
    <row r="82">
      <c r="A82" s="40" t="inlineStr">
        <is>
          <t>ORI079</t>
        </is>
      </c>
      <c r="B82" s="46" t="n"/>
      <c r="C82" s="40" t="n"/>
      <c r="D82" s="40" t="n"/>
      <c r="E82" s="40" t="n"/>
      <c r="F82" s="44" t="n"/>
      <c r="G82" s="40" t="n"/>
      <c r="H82" s="40" t="n"/>
      <c r="I82" s="44">
        <f>IFERROR(EDATE(F82,H82),"")</f>
        <v/>
      </c>
      <c r="J82" s="47" t="n"/>
      <c r="K82" s="40" t="n"/>
      <c r="L82" s="40" t="n"/>
      <c r="M82" s="40" t="n"/>
      <c r="N82" s="40" t="n"/>
      <c r="O82" s="40">
        <f>IF($B82="","",IFERROR(INDEX('CHUYÊN CẦN'!$C$3:$N$202,MATCH($A82,'CHUYÊN CẦN'!$A$3:$A$202,0),MONTH(TODAY())),0))</f>
        <v/>
      </c>
      <c r="P82" s="44">
        <f>IF($B82="","",IF(SUMPRODUCT(MAX(('NHẬT KÝ CSKH'!$B$3:$B$1000=$A82)*'NHẬT KÝ CSKH'!$A$3:$A$1000))=0,"",SUMPRODUCT(MAX(('NHẬT KÝ CSKH'!$B$3:$B$1000=$A82)*'NHẬT KÝ CSKH'!$A$3:$A$1000))))</f>
        <v/>
      </c>
      <c r="Q82" s="40">
        <f>IF($B82="","",IF($I82="","",$I82-TODAY()))</f>
        <v/>
      </c>
      <c r="R82" s="40">
        <f>IF($B82="","",IF($O82&gt;=3,2,0)+IF($K82="Còn nợ",2,0)+IF(AND($N82="Đang học",$Q82&lt;&gt;"",$Q82&gt;=0,$Q82&lt;=30),1,0)+IF($P82="",1,IF(TODAY()-$P82&gt;60,1,0)))</f>
        <v/>
      </c>
      <c r="S82" s="40">
        <f>IF($B82="","",IF($R82&gt;=3,"CAO",IF($R82&gt;=1,"TRUNG BÌNH","THẤP")))</f>
        <v/>
      </c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  <c r="AO82" s="40" t="n"/>
      <c r="AP82" s="40" t="n"/>
      <c r="AQ82" s="40" t="n"/>
    </row>
    <row r="83">
      <c r="A83" s="40" t="inlineStr">
        <is>
          <t>ORI080</t>
        </is>
      </c>
      <c r="B83" s="46" t="n"/>
      <c r="C83" s="40" t="n"/>
      <c r="D83" s="40" t="n"/>
      <c r="E83" s="40" t="n"/>
      <c r="F83" s="44" t="n"/>
      <c r="G83" s="40" t="n"/>
      <c r="H83" s="40" t="n"/>
      <c r="I83" s="44">
        <f>IFERROR(EDATE(F83,H83),"")</f>
        <v/>
      </c>
      <c r="J83" s="47" t="n"/>
      <c r="K83" s="40" t="n"/>
      <c r="L83" s="40" t="n"/>
      <c r="M83" s="40" t="n"/>
      <c r="N83" s="40" t="n"/>
      <c r="O83" s="40">
        <f>IF($B83="","",IFERROR(INDEX('CHUYÊN CẦN'!$C$3:$N$202,MATCH($A83,'CHUYÊN CẦN'!$A$3:$A$202,0),MONTH(TODAY())),0))</f>
        <v/>
      </c>
      <c r="P83" s="44">
        <f>IF($B83="","",IF(SUMPRODUCT(MAX(('NHẬT KÝ CSKH'!$B$3:$B$1000=$A83)*'NHẬT KÝ CSKH'!$A$3:$A$1000))=0,"",SUMPRODUCT(MAX(('NHẬT KÝ CSKH'!$B$3:$B$1000=$A83)*'NHẬT KÝ CSKH'!$A$3:$A$1000))))</f>
        <v/>
      </c>
      <c r="Q83" s="40">
        <f>IF($B83="","",IF($I83="","",$I83-TODAY()))</f>
        <v/>
      </c>
      <c r="R83" s="40">
        <f>IF($B83="","",IF($O83&gt;=3,2,0)+IF($K83="Còn nợ",2,0)+IF(AND($N83="Đang học",$Q83&lt;&gt;"",$Q83&gt;=0,$Q83&lt;=30),1,0)+IF($P83="",1,IF(TODAY()-$P83&gt;60,1,0)))</f>
        <v/>
      </c>
      <c r="S83" s="40">
        <f>IF($B83="","",IF($R83&gt;=3,"CAO",IF($R83&gt;=1,"TRUNG BÌNH","THẤP")))</f>
        <v/>
      </c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  <c r="AO83" s="40" t="n"/>
      <c r="AP83" s="40" t="n"/>
      <c r="AQ83" s="40" t="n"/>
    </row>
    <row r="84">
      <c r="A84" s="40" t="inlineStr">
        <is>
          <t>ORI081</t>
        </is>
      </c>
      <c r="B84" s="46" t="n"/>
      <c r="C84" s="40" t="n"/>
      <c r="D84" s="40" t="n"/>
      <c r="E84" s="40" t="n"/>
      <c r="F84" s="44" t="n"/>
      <c r="G84" s="40" t="n"/>
      <c r="H84" s="40" t="n"/>
      <c r="I84" s="44">
        <f>IFERROR(EDATE(F84,H84),"")</f>
        <v/>
      </c>
      <c r="J84" s="47" t="n"/>
      <c r="K84" s="40" t="n"/>
      <c r="L84" s="40" t="n"/>
      <c r="M84" s="40" t="n"/>
      <c r="N84" s="40" t="n"/>
      <c r="O84" s="40">
        <f>IF($B84="","",IFERROR(INDEX('CHUYÊN CẦN'!$C$3:$N$202,MATCH($A84,'CHUYÊN CẦN'!$A$3:$A$202,0),MONTH(TODAY())),0))</f>
        <v/>
      </c>
      <c r="P84" s="44">
        <f>IF($B84="","",IF(SUMPRODUCT(MAX(('NHẬT KÝ CSKH'!$B$3:$B$1000=$A84)*'NHẬT KÝ CSKH'!$A$3:$A$1000))=0,"",SUMPRODUCT(MAX(('NHẬT KÝ CSKH'!$B$3:$B$1000=$A84)*'NHẬT KÝ CSKH'!$A$3:$A$1000))))</f>
        <v/>
      </c>
      <c r="Q84" s="40">
        <f>IF($B84="","",IF($I84="","",$I84-TODAY()))</f>
        <v/>
      </c>
      <c r="R84" s="40">
        <f>IF($B84="","",IF($O84&gt;=3,2,0)+IF($K84="Còn nợ",2,0)+IF(AND($N84="Đang học",$Q84&lt;&gt;"",$Q84&gt;=0,$Q84&lt;=30),1,0)+IF($P84="",1,IF(TODAY()-$P84&gt;60,1,0)))</f>
        <v/>
      </c>
      <c r="S84" s="40">
        <f>IF($B84="","",IF($R84&gt;=3,"CAO",IF($R84&gt;=1,"TRUNG BÌNH","THẤP")))</f>
        <v/>
      </c>
      <c r="T84" s="40" t="n"/>
      <c r="U84" s="40" t="n"/>
      <c r="V84" s="40" t="n"/>
      <c r="W84" s="40" t="n"/>
      <c r="X84" s="40" t="n"/>
      <c r="Y84" s="40" t="n"/>
      <c r="Z84" s="40" t="n"/>
      <c r="AA84" s="40" t="n"/>
      <c r="AB84" s="40" t="n"/>
      <c r="AC84" s="40" t="n"/>
      <c r="AD84" s="40" t="n"/>
      <c r="AE84" s="40" t="n"/>
      <c r="AF84" s="40" t="n"/>
      <c r="AG84" s="40" t="n"/>
      <c r="AH84" s="40" t="n"/>
      <c r="AI84" s="40" t="n"/>
      <c r="AJ84" s="40" t="n"/>
      <c r="AK84" s="40" t="n"/>
      <c r="AL84" s="40" t="n"/>
      <c r="AM84" s="40" t="n"/>
      <c r="AN84" s="40" t="n"/>
      <c r="AO84" s="40" t="n"/>
      <c r="AP84" s="40" t="n"/>
      <c r="AQ84" s="40" t="n"/>
    </row>
    <row r="85">
      <c r="A85" s="40" t="inlineStr">
        <is>
          <t>ORI082</t>
        </is>
      </c>
      <c r="B85" s="46" t="n"/>
      <c r="C85" s="40" t="n"/>
      <c r="D85" s="40" t="n"/>
      <c r="E85" s="40" t="n"/>
      <c r="F85" s="44" t="n"/>
      <c r="G85" s="40" t="n"/>
      <c r="H85" s="40" t="n"/>
      <c r="I85" s="44">
        <f>IFERROR(EDATE(F85,H85),"")</f>
        <v/>
      </c>
      <c r="J85" s="47" t="n"/>
      <c r="K85" s="40" t="n"/>
      <c r="L85" s="40" t="n"/>
      <c r="M85" s="40" t="n"/>
      <c r="N85" s="40" t="n"/>
      <c r="O85" s="40">
        <f>IF($B85="","",IFERROR(INDEX('CHUYÊN CẦN'!$C$3:$N$202,MATCH($A85,'CHUYÊN CẦN'!$A$3:$A$202,0),MONTH(TODAY())),0))</f>
        <v/>
      </c>
      <c r="P85" s="44">
        <f>IF($B85="","",IF(SUMPRODUCT(MAX(('NHẬT KÝ CSKH'!$B$3:$B$1000=$A85)*'NHẬT KÝ CSKH'!$A$3:$A$1000))=0,"",SUMPRODUCT(MAX(('NHẬT KÝ CSKH'!$B$3:$B$1000=$A85)*'NHẬT KÝ CSKH'!$A$3:$A$1000))))</f>
        <v/>
      </c>
      <c r="Q85" s="40">
        <f>IF($B85="","",IF($I85="","",$I85-TODAY()))</f>
        <v/>
      </c>
      <c r="R85" s="40">
        <f>IF($B85="","",IF($O85&gt;=3,2,0)+IF($K85="Còn nợ",2,0)+IF(AND($N85="Đang học",$Q85&lt;&gt;"",$Q85&gt;=0,$Q85&lt;=30),1,0)+IF($P85="",1,IF(TODAY()-$P85&gt;60,1,0)))</f>
        <v/>
      </c>
      <c r="S85" s="40">
        <f>IF($B85="","",IF($R85&gt;=3,"CAO",IF($R85&gt;=1,"TRUNG BÌNH","THẤP")))</f>
        <v/>
      </c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  <c r="AO85" s="40" t="n"/>
      <c r="AP85" s="40" t="n"/>
      <c r="AQ85" s="40" t="n"/>
    </row>
    <row r="86">
      <c r="A86" s="40" t="inlineStr">
        <is>
          <t>ORI083</t>
        </is>
      </c>
      <c r="B86" s="46" t="n"/>
      <c r="C86" s="40" t="n"/>
      <c r="D86" s="40" t="n"/>
      <c r="E86" s="40" t="n"/>
      <c r="F86" s="44" t="n"/>
      <c r="G86" s="40" t="n"/>
      <c r="H86" s="40" t="n"/>
      <c r="I86" s="44">
        <f>IFERROR(EDATE(F86,H86),"")</f>
        <v/>
      </c>
      <c r="J86" s="47" t="n"/>
      <c r="K86" s="40" t="n"/>
      <c r="L86" s="40" t="n"/>
      <c r="M86" s="40" t="n"/>
      <c r="N86" s="40" t="n"/>
      <c r="O86" s="40">
        <f>IF($B86="","",IFERROR(INDEX('CHUYÊN CẦN'!$C$3:$N$202,MATCH($A86,'CHUYÊN CẦN'!$A$3:$A$202,0),MONTH(TODAY())),0))</f>
        <v/>
      </c>
      <c r="P86" s="44">
        <f>IF($B86="","",IF(SUMPRODUCT(MAX(('NHẬT KÝ CSKH'!$B$3:$B$1000=$A86)*'NHẬT KÝ CSKH'!$A$3:$A$1000))=0,"",SUMPRODUCT(MAX(('NHẬT KÝ CSKH'!$B$3:$B$1000=$A86)*'NHẬT KÝ CSKH'!$A$3:$A$1000))))</f>
        <v/>
      </c>
      <c r="Q86" s="40">
        <f>IF($B86="","",IF($I86="","",$I86-TODAY()))</f>
        <v/>
      </c>
      <c r="R86" s="40">
        <f>IF($B86="","",IF($O86&gt;=3,2,0)+IF($K86="Còn nợ",2,0)+IF(AND($N86="Đang học",$Q86&lt;&gt;"",$Q86&gt;=0,$Q86&lt;=30),1,0)+IF($P86="",1,IF(TODAY()-$P86&gt;60,1,0)))</f>
        <v/>
      </c>
      <c r="S86" s="40">
        <f>IF($B86="","",IF($R86&gt;=3,"CAO",IF($R86&gt;=1,"TRUNG BÌNH","THẤP")))</f>
        <v/>
      </c>
      <c r="T86" s="40" t="n"/>
      <c r="U86" s="40" t="n"/>
      <c r="V86" s="40" t="n"/>
      <c r="W86" s="40" t="n"/>
      <c r="X86" s="40" t="n"/>
      <c r="Y86" s="40" t="n"/>
      <c r="Z86" s="40" t="n"/>
      <c r="AA86" s="40" t="n"/>
      <c r="AB86" s="40" t="n"/>
      <c r="AC86" s="40" t="n"/>
      <c r="AD86" s="40" t="n"/>
      <c r="AE86" s="40" t="n"/>
      <c r="AF86" s="40" t="n"/>
      <c r="AG86" s="40" t="n"/>
      <c r="AH86" s="40" t="n"/>
      <c r="AI86" s="40" t="n"/>
      <c r="AJ86" s="40" t="n"/>
      <c r="AK86" s="40" t="n"/>
      <c r="AL86" s="40" t="n"/>
      <c r="AM86" s="40" t="n"/>
      <c r="AN86" s="40" t="n"/>
      <c r="AO86" s="40" t="n"/>
      <c r="AP86" s="40" t="n"/>
      <c r="AQ86" s="40" t="n"/>
    </row>
    <row r="87">
      <c r="A87" s="40" t="inlineStr">
        <is>
          <t>ORI084</t>
        </is>
      </c>
      <c r="B87" s="46" t="n"/>
      <c r="C87" s="40" t="n"/>
      <c r="D87" s="40" t="n"/>
      <c r="E87" s="40" t="n"/>
      <c r="F87" s="44" t="n"/>
      <c r="G87" s="40" t="n"/>
      <c r="H87" s="40" t="n"/>
      <c r="I87" s="44">
        <f>IFERROR(EDATE(F87,H87),"")</f>
        <v/>
      </c>
      <c r="J87" s="47" t="n"/>
      <c r="K87" s="40" t="n"/>
      <c r="L87" s="40" t="n"/>
      <c r="M87" s="40" t="n"/>
      <c r="N87" s="40" t="n"/>
      <c r="O87" s="40">
        <f>IF($B87="","",IFERROR(INDEX('CHUYÊN CẦN'!$C$3:$N$202,MATCH($A87,'CHUYÊN CẦN'!$A$3:$A$202,0),MONTH(TODAY())),0))</f>
        <v/>
      </c>
      <c r="P87" s="44">
        <f>IF($B87="","",IF(SUMPRODUCT(MAX(('NHẬT KÝ CSKH'!$B$3:$B$1000=$A87)*'NHẬT KÝ CSKH'!$A$3:$A$1000))=0,"",SUMPRODUCT(MAX(('NHẬT KÝ CSKH'!$B$3:$B$1000=$A87)*'NHẬT KÝ CSKH'!$A$3:$A$1000))))</f>
        <v/>
      </c>
      <c r="Q87" s="40">
        <f>IF($B87="","",IF($I87="","",$I87-TODAY()))</f>
        <v/>
      </c>
      <c r="R87" s="40">
        <f>IF($B87="","",IF($O87&gt;=3,2,0)+IF($K87="Còn nợ",2,0)+IF(AND($N87="Đang học",$Q87&lt;&gt;"",$Q87&gt;=0,$Q87&lt;=30),1,0)+IF($P87="",1,IF(TODAY()-$P87&gt;60,1,0)))</f>
        <v/>
      </c>
      <c r="S87" s="40">
        <f>IF($B87="","",IF($R87&gt;=3,"CAO",IF($R87&gt;=1,"TRUNG BÌNH","THẤP")))</f>
        <v/>
      </c>
      <c r="T87" s="40" t="n"/>
      <c r="U87" s="40" t="n"/>
      <c r="V87" s="40" t="n"/>
      <c r="W87" s="40" t="n"/>
      <c r="X87" s="40" t="n"/>
      <c r="Y87" s="40" t="n"/>
      <c r="Z87" s="40" t="n"/>
      <c r="AA87" s="40" t="n"/>
      <c r="AB87" s="40" t="n"/>
      <c r="AC87" s="40" t="n"/>
      <c r="AD87" s="40" t="n"/>
      <c r="AE87" s="40" t="n"/>
      <c r="AF87" s="40" t="n"/>
      <c r="AG87" s="40" t="n"/>
      <c r="AH87" s="40" t="n"/>
      <c r="AI87" s="40" t="n"/>
      <c r="AJ87" s="40" t="n"/>
      <c r="AK87" s="40" t="n"/>
      <c r="AL87" s="40" t="n"/>
      <c r="AM87" s="40" t="n"/>
      <c r="AN87" s="40" t="n"/>
      <c r="AO87" s="40" t="n"/>
      <c r="AP87" s="40" t="n"/>
      <c r="AQ87" s="40" t="n"/>
    </row>
    <row r="88">
      <c r="A88" s="40" t="inlineStr">
        <is>
          <t>ORI085</t>
        </is>
      </c>
      <c r="B88" s="46" t="n"/>
      <c r="C88" s="40" t="n"/>
      <c r="D88" s="40" t="n"/>
      <c r="E88" s="40" t="n"/>
      <c r="F88" s="44" t="n"/>
      <c r="G88" s="40" t="n"/>
      <c r="H88" s="40" t="n"/>
      <c r="I88" s="44">
        <f>IFERROR(EDATE(F88,H88),"")</f>
        <v/>
      </c>
      <c r="J88" s="47" t="n"/>
      <c r="K88" s="40" t="n"/>
      <c r="L88" s="40" t="n"/>
      <c r="M88" s="40" t="n"/>
      <c r="N88" s="40" t="n"/>
      <c r="O88" s="40">
        <f>IF($B88="","",IFERROR(INDEX('CHUYÊN CẦN'!$C$3:$N$202,MATCH($A88,'CHUYÊN CẦN'!$A$3:$A$202,0),MONTH(TODAY())),0))</f>
        <v/>
      </c>
      <c r="P88" s="44">
        <f>IF($B88="","",IF(SUMPRODUCT(MAX(('NHẬT KÝ CSKH'!$B$3:$B$1000=$A88)*'NHẬT KÝ CSKH'!$A$3:$A$1000))=0,"",SUMPRODUCT(MAX(('NHẬT KÝ CSKH'!$B$3:$B$1000=$A88)*'NHẬT KÝ CSKH'!$A$3:$A$1000))))</f>
        <v/>
      </c>
      <c r="Q88" s="40">
        <f>IF($B88="","",IF($I88="","",$I88-TODAY()))</f>
        <v/>
      </c>
      <c r="R88" s="40">
        <f>IF($B88="","",IF($O88&gt;=3,2,0)+IF($K88="Còn nợ",2,0)+IF(AND($N88="Đang học",$Q88&lt;&gt;"",$Q88&gt;=0,$Q88&lt;=30),1,0)+IF($P88="",1,IF(TODAY()-$P88&gt;60,1,0)))</f>
        <v/>
      </c>
      <c r="S88" s="40">
        <f>IF($B88="","",IF($R88&gt;=3,"CAO",IF($R88&gt;=1,"TRUNG BÌNH","THẤP")))</f>
        <v/>
      </c>
      <c r="T88" s="40" t="n"/>
      <c r="U88" s="40" t="n"/>
      <c r="V88" s="40" t="n"/>
      <c r="W88" s="40" t="n"/>
      <c r="X88" s="40" t="n"/>
      <c r="Y88" s="40" t="n"/>
      <c r="Z88" s="40" t="n"/>
      <c r="AA88" s="40" t="n"/>
      <c r="AB88" s="40" t="n"/>
      <c r="AC88" s="40" t="n"/>
      <c r="AD88" s="40" t="n"/>
      <c r="AE88" s="40" t="n"/>
      <c r="AF88" s="40" t="n"/>
      <c r="AG88" s="40" t="n"/>
      <c r="AH88" s="40" t="n"/>
      <c r="AI88" s="40" t="n"/>
      <c r="AJ88" s="40" t="n"/>
      <c r="AK88" s="40" t="n"/>
      <c r="AL88" s="40" t="n"/>
      <c r="AM88" s="40" t="n"/>
      <c r="AN88" s="40" t="n"/>
      <c r="AO88" s="40" t="n"/>
      <c r="AP88" s="40" t="n"/>
      <c r="AQ88" s="40" t="n"/>
    </row>
    <row r="89">
      <c r="A89" s="40" t="inlineStr">
        <is>
          <t>ORI086</t>
        </is>
      </c>
      <c r="B89" s="46" t="n"/>
      <c r="C89" s="40" t="n"/>
      <c r="D89" s="40" t="n"/>
      <c r="E89" s="40" t="n"/>
      <c r="F89" s="44" t="n"/>
      <c r="G89" s="40" t="n"/>
      <c r="H89" s="40" t="n"/>
      <c r="I89" s="44">
        <f>IFERROR(EDATE(F89,H89),"")</f>
        <v/>
      </c>
      <c r="J89" s="47" t="n"/>
      <c r="K89" s="40" t="n"/>
      <c r="L89" s="40" t="n"/>
      <c r="M89" s="40" t="n"/>
      <c r="N89" s="40" t="n"/>
      <c r="O89" s="40">
        <f>IF($B89="","",IFERROR(INDEX('CHUYÊN CẦN'!$C$3:$N$202,MATCH($A89,'CHUYÊN CẦN'!$A$3:$A$202,0),MONTH(TODAY())),0))</f>
        <v/>
      </c>
      <c r="P89" s="44">
        <f>IF($B89="","",IF(SUMPRODUCT(MAX(('NHẬT KÝ CSKH'!$B$3:$B$1000=$A89)*'NHẬT KÝ CSKH'!$A$3:$A$1000))=0,"",SUMPRODUCT(MAX(('NHẬT KÝ CSKH'!$B$3:$B$1000=$A89)*'NHẬT KÝ CSKH'!$A$3:$A$1000))))</f>
        <v/>
      </c>
      <c r="Q89" s="40">
        <f>IF($B89="","",IF($I89="","",$I89-TODAY()))</f>
        <v/>
      </c>
      <c r="R89" s="40">
        <f>IF($B89="","",IF($O89&gt;=3,2,0)+IF($K89="Còn nợ",2,0)+IF(AND($N89="Đang học",$Q89&lt;&gt;"",$Q89&gt;=0,$Q89&lt;=30),1,0)+IF($P89="",1,IF(TODAY()-$P89&gt;60,1,0)))</f>
        <v/>
      </c>
      <c r="S89" s="40">
        <f>IF($B89="","",IF($R89&gt;=3,"CAO",IF($R89&gt;=1,"TRUNG BÌNH","THẤP")))</f>
        <v/>
      </c>
      <c r="T89" s="40" t="n"/>
      <c r="U89" s="40" t="n"/>
      <c r="V89" s="40" t="n"/>
      <c r="W89" s="40" t="n"/>
      <c r="X89" s="40" t="n"/>
      <c r="Y89" s="40" t="n"/>
      <c r="Z89" s="40" t="n"/>
      <c r="AA89" s="40" t="n"/>
      <c r="AB89" s="40" t="n"/>
      <c r="AC89" s="40" t="n"/>
      <c r="AD89" s="40" t="n"/>
      <c r="AE89" s="40" t="n"/>
      <c r="AF89" s="40" t="n"/>
      <c r="AG89" s="40" t="n"/>
      <c r="AH89" s="40" t="n"/>
      <c r="AI89" s="40" t="n"/>
      <c r="AJ89" s="40" t="n"/>
      <c r="AK89" s="40" t="n"/>
      <c r="AL89" s="40" t="n"/>
      <c r="AM89" s="40" t="n"/>
      <c r="AN89" s="40" t="n"/>
      <c r="AO89" s="40" t="n"/>
      <c r="AP89" s="40" t="n"/>
      <c r="AQ89" s="40" t="n"/>
    </row>
    <row r="90">
      <c r="A90" s="40" t="inlineStr">
        <is>
          <t>ORI087</t>
        </is>
      </c>
      <c r="B90" s="46" t="n"/>
      <c r="C90" s="40" t="n"/>
      <c r="D90" s="40" t="n"/>
      <c r="E90" s="40" t="n"/>
      <c r="F90" s="44" t="n"/>
      <c r="G90" s="40" t="n"/>
      <c r="H90" s="40" t="n"/>
      <c r="I90" s="44">
        <f>IFERROR(EDATE(F90,H90),"")</f>
        <v/>
      </c>
      <c r="J90" s="47" t="n"/>
      <c r="K90" s="40" t="n"/>
      <c r="L90" s="40" t="n"/>
      <c r="M90" s="40" t="n"/>
      <c r="N90" s="40" t="n"/>
      <c r="O90" s="40">
        <f>IF($B90="","",IFERROR(INDEX('CHUYÊN CẦN'!$C$3:$N$202,MATCH($A90,'CHUYÊN CẦN'!$A$3:$A$202,0),MONTH(TODAY())),0))</f>
        <v/>
      </c>
      <c r="P90" s="44">
        <f>IF($B90="","",IF(SUMPRODUCT(MAX(('NHẬT KÝ CSKH'!$B$3:$B$1000=$A90)*'NHẬT KÝ CSKH'!$A$3:$A$1000))=0,"",SUMPRODUCT(MAX(('NHẬT KÝ CSKH'!$B$3:$B$1000=$A90)*'NHẬT KÝ CSKH'!$A$3:$A$1000))))</f>
        <v/>
      </c>
      <c r="Q90" s="40">
        <f>IF($B90="","",IF($I90="","",$I90-TODAY()))</f>
        <v/>
      </c>
      <c r="R90" s="40">
        <f>IF($B90="","",IF($O90&gt;=3,2,0)+IF($K90="Còn nợ",2,0)+IF(AND($N90="Đang học",$Q90&lt;&gt;"",$Q90&gt;=0,$Q90&lt;=30),1,0)+IF($P90="",1,IF(TODAY()-$P90&gt;60,1,0)))</f>
        <v/>
      </c>
      <c r="S90" s="40">
        <f>IF($B90="","",IF($R90&gt;=3,"CAO",IF($R90&gt;=1,"TRUNG BÌNH","THẤP")))</f>
        <v/>
      </c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  <c r="AO90" s="40" t="n"/>
      <c r="AP90" s="40" t="n"/>
      <c r="AQ90" s="40" t="n"/>
    </row>
    <row r="91">
      <c r="A91" s="40" t="inlineStr">
        <is>
          <t>ORI088</t>
        </is>
      </c>
      <c r="B91" s="46" t="n"/>
      <c r="C91" s="40" t="n"/>
      <c r="D91" s="40" t="n"/>
      <c r="E91" s="40" t="n"/>
      <c r="F91" s="44" t="n"/>
      <c r="G91" s="40" t="n"/>
      <c r="H91" s="40" t="n"/>
      <c r="I91" s="44">
        <f>IFERROR(EDATE(F91,H91),"")</f>
        <v/>
      </c>
      <c r="J91" s="47" t="n"/>
      <c r="K91" s="40" t="n"/>
      <c r="L91" s="40" t="n"/>
      <c r="M91" s="40" t="n"/>
      <c r="N91" s="40" t="n"/>
      <c r="O91" s="40">
        <f>IF($B91="","",IFERROR(INDEX('CHUYÊN CẦN'!$C$3:$N$202,MATCH($A91,'CHUYÊN CẦN'!$A$3:$A$202,0),MONTH(TODAY())),0))</f>
        <v/>
      </c>
      <c r="P91" s="44">
        <f>IF($B91="","",IF(SUMPRODUCT(MAX(('NHẬT KÝ CSKH'!$B$3:$B$1000=$A91)*'NHẬT KÝ CSKH'!$A$3:$A$1000))=0,"",SUMPRODUCT(MAX(('NHẬT KÝ CSKH'!$B$3:$B$1000=$A91)*'NHẬT KÝ CSKH'!$A$3:$A$1000))))</f>
        <v/>
      </c>
      <c r="Q91" s="40">
        <f>IF($B91="","",IF($I91="","",$I91-TODAY()))</f>
        <v/>
      </c>
      <c r="R91" s="40">
        <f>IF($B91="","",IF($O91&gt;=3,2,0)+IF($K91="Còn nợ",2,0)+IF(AND($N91="Đang học",$Q91&lt;&gt;"",$Q91&gt;=0,$Q91&lt;=30),1,0)+IF($P91="",1,IF(TODAY()-$P91&gt;60,1,0)))</f>
        <v/>
      </c>
      <c r="S91" s="40">
        <f>IF($B91="","",IF($R91&gt;=3,"CAO",IF($R91&gt;=1,"TRUNG BÌNH","THẤP")))</f>
        <v/>
      </c>
      <c r="T91" s="40" t="n"/>
      <c r="U91" s="40" t="n"/>
      <c r="V91" s="40" t="n"/>
      <c r="W91" s="40" t="n"/>
      <c r="X91" s="40" t="n"/>
      <c r="Y91" s="40" t="n"/>
      <c r="Z91" s="40" t="n"/>
      <c r="AA91" s="40" t="n"/>
      <c r="AB91" s="40" t="n"/>
      <c r="AC91" s="40" t="n"/>
      <c r="AD91" s="40" t="n"/>
      <c r="AE91" s="40" t="n"/>
      <c r="AF91" s="40" t="n"/>
      <c r="AG91" s="40" t="n"/>
      <c r="AH91" s="40" t="n"/>
      <c r="AI91" s="40" t="n"/>
      <c r="AJ91" s="40" t="n"/>
      <c r="AK91" s="40" t="n"/>
      <c r="AL91" s="40" t="n"/>
      <c r="AM91" s="40" t="n"/>
      <c r="AN91" s="40" t="n"/>
      <c r="AO91" s="40" t="n"/>
      <c r="AP91" s="40" t="n"/>
      <c r="AQ91" s="40" t="n"/>
    </row>
    <row r="92">
      <c r="A92" s="40" t="inlineStr">
        <is>
          <t>ORI089</t>
        </is>
      </c>
      <c r="B92" s="46" t="n"/>
      <c r="C92" s="40" t="n"/>
      <c r="D92" s="40" t="n"/>
      <c r="E92" s="40" t="n"/>
      <c r="F92" s="44" t="n"/>
      <c r="G92" s="40" t="n"/>
      <c r="H92" s="40" t="n"/>
      <c r="I92" s="44">
        <f>IFERROR(EDATE(F92,H92),"")</f>
        <v/>
      </c>
      <c r="J92" s="47" t="n"/>
      <c r="K92" s="40" t="n"/>
      <c r="L92" s="40" t="n"/>
      <c r="M92" s="40" t="n"/>
      <c r="N92" s="40" t="n"/>
      <c r="O92" s="40">
        <f>IF($B92="","",IFERROR(INDEX('CHUYÊN CẦN'!$C$3:$N$202,MATCH($A92,'CHUYÊN CẦN'!$A$3:$A$202,0),MONTH(TODAY())),0))</f>
        <v/>
      </c>
      <c r="P92" s="44">
        <f>IF($B92="","",IF(SUMPRODUCT(MAX(('NHẬT KÝ CSKH'!$B$3:$B$1000=$A92)*'NHẬT KÝ CSKH'!$A$3:$A$1000))=0,"",SUMPRODUCT(MAX(('NHẬT KÝ CSKH'!$B$3:$B$1000=$A92)*'NHẬT KÝ CSKH'!$A$3:$A$1000))))</f>
        <v/>
      </c>
      <c r="Q92" s="40">
        <f>IF($B92="","",IF($I92="","",$I92-TODAY()))</f>
        <v/>
      </c>
      <c r="R92" s="40">
        <f>IF($B92="","",IF($O92&gt;=3,2,0)+IF($K92="Còn nợ",2,0)+IF(AND($N92="Đang học",$Q92&lt;&gt;"",$Q92&gt;=0,$Q92&lt;=30),1,0)+IF($P92="",1,IF(TODAY()-$P92&gt;60,1,0)))</f>
        <v/>
      </c>
      <c r="S92" s="40">
        <f>IF($B92="","",IF($R92&gt;=3,"CAO",IF($R92&gt;=1,"TRUNG BÌNH","THẤP")))</f>
        <v/>
      </c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  <c r="AO92" s="40" t="n"/>
      <c r="AP92" s="40" t="n"/>
      <c r="AQ92" s="40" t="n"/>
    </row>
    <row r="93">
      <c r="A93" s="40" t="inlineStr">
        <is>
          <t>ORI090</t>
        </is>
      </c>
      <c r="B93" s="46" t="n"/>
      <c r="C93" s="40" t="n"/>
      <c r="D93" s="40" t="n"/>
      <c r="E93" s="40" t="n"/>
      <c r="F93" s="44" t="n"/>
      <c r="G93" s="40" t="n"/>
      <c r="H93" s="40" t="n"/>
      <c r="I93" s="44">
        <f>IFERROR(EDATE(F93,H93),"")</f>
        <v/>
      </c>
      <c r="J93" s="47" t="n"/>
      <c r="K93" s="40" t="n"/>
      <c r="L93" s="40" t="n"/>
      <c r="M93" s="40" t="n"/>
      <c r="N93" s="40" t="n"/>
      <c r="O93" s="40">
        <f>IF($B93="","",IFERROR(INDEX('CHUYÊN CẦN'!$C$3:$N$202,MATCH($A93,'CHUYÊN CẦN'!$A$3:$A$202,0),MONTH(TODAY())),0))</f>
        <v/>
      </c>
      <c r="P93" s="44">
        <f>IF($B93="","",IF(SUMPRODUCT(MAX(('NHẬT KÝ CSKH'!$B$3:$B$1000=$A93)*'NHẬT KÝ CSKH'!$A$3:$A$1000))=0,"",SUMPRODUCT(MAX(('NHẬT KÝ CSKH'!$B$3:$B$1000=$A93)*'NHẬT KÝ CSKH'!$A$3:$A$1000))))</f>
        <v/>
      </c>
      <c r="Q93" s="40">
        <f>IF($B93="","",IF($I93="","",$I93-TODAY()))</f>
        <v/>
      </c>
      <c r="R93" s="40">
        <f>IF($B93="","",IF($O93&gt;=3,2,0)+IF($K93="Còn nợ",2,0)+IF(AND($N93="Đang học",$Q93&lt;&gt;"",$Q93&gt;=0,$Q93&lt;=30),1,0)+IF($P93="",1,IF(TODAY()-$P93&gt;60,1,0)))</f>
        <v/>
      </c>
      <c r="S93" s="40">
        <f>IF($B93="","",IF($R93&gt;=3,"CAO",IF($R93&gt;=1,"TRUNG BÌNH","THẤP")))</f>
        <v/>
      </c>
      <c r="T93" s="40" t="n"/>
      <c r="U93" s="40" t="n"/>
      <c r="V93" s="40" t="n"/>
      <c r="W93" s="40" t="n"/>
      <c r="X93" s="40" t="n"/>
      <c r="Y93" s="40" t="n"/>
      <c r="Z93" s="40" t="n"/>
      <c r="AA93" s="40" t="n"/>
      <c r="AB93" s="40" t="n"/>
      <c r="AC93" s="40" t="n"/>
      <c r="AD93" s="40" t="n"/>
      <c r="AE93" s="40" t="n"/>
      <c r="AF93" s="40" t="n"/>
      <c r="AG93" s="40" t="n"/>
      <c r="AH93" s="40" t="n"/>
      <c r="AI93" s="40" t="n"/>
      <c r="AJ93" s="40" t="n"/>
      <c r="AK93" s="40" t="n"/>
      <c r="AL93" s="40" t="n"/>
      <c r="AM93" s="40" t="n"/>
      <c r="AN93" s="40" t="n"/>
      <c r="AO93" s="40" t="n"/>
      <c r="AP93" s="40" t="n"/>
      <c r="AQ93" s="40" t="n"/>
    </row>
    <row r="94">
      <c r="A94" s="40" t="inlineStr">
        <is>
          <t>ORI091</t>
        </is>
      </c>
      <c r="B94" s="46" t="n"/>
      <c r="C94" s="40" t="n"/>
      <c r="D94" s="40" t="n"/>
      <c r="E94" s="40" t="n"/>
      <c r="F94" s="44" t="n"/>
      <c r="G94" s="40" t="n"/>
      <c r="H94" s="40" t="n"/>
      <c r="I94" s="44">
        <f>IFERROR(EDATE(F94,H94),"")</f>
        <v/>
      </c>
      <c r="J94" s="47" t="n"/>
      <c r="K94" s="40" t="n"/>
      <c r="L94" s="40" t="n"/>
      <c r="M94" s="40" t="n"/>
      <c r="N94" s="40" t="n"/>
      <c r="O94" s="40">
        <f>IF($B94="","",IFERROR(INDEX('CHUYÊN CẦN'!$C$3:$N$202,MATCH($A94,'CHUYÊN CẦN'!$A$3:$A$202,0),MONTH(TODAY())),0))</f>
        <v/>
      </c>
      <c r="P94" s="44">
        <f>IF($B94="","",IF(SUMPRODUCT(MAX(('NHẬT KÝ CSKH'!$B$3:$B$1000=$A94)*'NHẬT KÝ CSKH'!$A$3:$A$1000))=0,"",SUMPRODUCT(MAX(('NHẬT KÝ CSKH'!$B$3:$B$1000=$A94)*'NHẬT KÝ CSKH'!$A$3:$A$1000))))</f>
        <v/>
      </c>
      <c r="Q94" s="40">
        <f>IF($B94="","",IF($I94="","",$I94-TODAY()))</f>
        <v/>
      </c>
      <c r="R94" s="40">
        <f>IF($B94="","",IF($O94&gt;=3,2,0)+IF($K94="Còn nợ",2,0)+IF(AND($N94="Đang học",$Q94&lt;&gt;"",$Q94&gt;=0,$Q94&lt;=30),1,0)+IF($P94="",1,IF(TODAY()-$P94&gt;60,1,0)))</f>
        <v/>
      </c>
      <c r="S94" s="40">
        <f>IF($B94="","",IF($R94&gt;=3,"CAO",IF($R94&gt;=1,"TRUNG BÌNH","THẤP")))</f>
        <v/>
      </c>
      <c r="T94" s="40" t="n"/>
      <c r="U94" s="40" t="n"/>
      <c r="V94" s="40" t="n"/>
      <c r="W94" s="40" t="n"/>
      <c r="X94" s="40" t="n"/>
      <c r="Y94" s="40" t="n"/>
      <c r="Z94" s="40" t="n"/>
      <c r="AA94" s="40" t="n"/>
      <c r="AB94" s="40" t="n"/>
      <c r="AC94" s="40" t="n"/>
      <c r="AD94" s="40" t="n"/>
      <c r="AE94" s="40" t="n"/>
      <c r="AF94" s="40" t="n"/>
      <c r="AG94" s="40" t="n"/>
      <c r="AH94" s="40" t="n"/>
      <c r="AI94" s="40" t="n"/>
      <c r="AJ94" s="40" t="n"/>
      <c r="AK94" s="40" t="n"/>
      <c r="AL94" s="40" t="n"/>
      <c r="AM94" s="40" t="n"/>
      <c r="AN94" s="40" t="n"/>
      <c r="AO94" s="40" t="n"/>
      <c r="AP94" s="40" t="n"/>
      <c r="AQ94" s="40" t="n"/>
    </row>
    <row r="95">
      <c r="A95" s="40" t="inlineStr">
        <is>
          <t>ORI092</t>
        </is>
      </c>
      <c r="B95" s="46" t="n"/>
      <c r="C95" s="40" t="n"/>
      <c r="D95" s="40" t="n"/>
      <c r="E95" s="40" t="n"/>
      <c r="F95" s="44" t="n"/>
      <c r="G95" s="40" t="n"/>
      <c r="H95" s="40" t="n"/>
      <c r="I95" s="44">
        <f>IFERROR(EDATE(F95,H95),"")</f>
        <v/>
      </c>
      <c r="J95" s="47" t="n"/>
      <c r="K95" s="40" t="n"/>
      <c r="L95" s="40" t="n"/>
      <c r="M95" s="40" t="n"/>
      <c r="N95" s="40" t="n"/>
      <c r="O95" s="40">
        <f>IF($B95="","",IFERROR(INDEX('CHUYÊN CẦN'!$C$3:$N$202,MATCH($A95,'CHUYÊN CẦN'!$A$3:$A$202,0),MONTH(TODAY())),0))</f>
        <v/>
      </c>
      <c r="P95" s="44">
        <f>IF($B95="","",IF(SUMPRODUCT(MAX(('NHẬT KÝ CSKH'!$B$3:$B$1000=$A95)*'NHẬT KÝ CSKH'!$A$3:$A$1000))=0,"",SUMPRODUCT(MAX(('NHẬT KÝ CSKH'!$B$3:$B$1000=$A95)*'NHẬT KÝ CSKH'!$A$3:$A$1000))))</f>
        <v/>
      </c>
      <c r="Q95" s="40">
        <f>IF($B95="","",IF($I95="","",$I95-TODAY()))</f>
        <v/>
      </c>
      <c r="R95" s="40">
        <f>IF($B95="","",IF($O95&gt;=3,2,0)+IF($K95="Còn nợ",2,0)+IF(AND($N95="Đang học",$Q95&lt;&gt;"",$Q95&gt;=0,$Q95&lt;=30),1,0)+IF($P95="",1,IF(TODAY()-$P95&gt;60,1,0)))</f>
        <v/>
      </c>
      <c r="S95" s="40">
        <f>IF($B95="","",IF($R95&gt;=3,"CAO",IF($R95&gt;=1,"TRUNG BÌNH","THẤP")))</f>
        <v/>
      </c>
      <c r="T95" s="40" t="n"/>
      <c r="U95" s="40" t="n"/>
      <c r="V95" s="40" t="n"/>
      <c r="W95" s="40" t="n"/>
      <c r="X95" s="40" t="n"/>
      <c r="Y95" s="40" t="n"/>
      <c r="Z95" s="40" t="n"/>
      <c r="AA95" s="40" t="n"/>
      <c r="AB95" s="40" t="n"/>
      <c r="AC95" s="40" t="n"/>
      <c r="AD95" s="40" t="n"/>
      <c r="AE95" s="40" t="n"/>
      <c r="AF95" s="40" t="n"/>
      <c r="AG95" s="40" t="n"/>
      <c r="AH95" s="40" t="n"/>
      <c r="AI95" s="40" t="n"/>
      <c r="AJ95" s="40" t="n"/>
      <c r="AK95" s="40" t="n"/>
      <c r="AL95" s="40" t="n"/>
      <c r="AM95" s="40" t="n"/>
      <c r="AN95" s="40" t="n"/>
      <c r="AO95" s="40" t="n"/>
      <c r="AP95" s="40" t="n"/>
      <c r="AQ95" s="40" t="n"/>
    </row>
    <row r="96">
      <c r="A96" s="40" t="inlineStr">
        <is>
          <t>ORI093</t>
        </is>
      </c>
      <c r="B96" s="46" t="n"/>
      <c r="C96" s="40" t="n"/>
      <c r="D96" s="40" t="n"/>
      <c r="E96" s="40" t="n"/>
      <c r="F96" s="44" t="n"/>
      <c r="G96" s="40" t="n"/>
      <c r="H96" s="40" t="n"/>
      <c r="I96" s="44">
        <f>IFERROR(EDATE(F96,H96),"")</f>
        <v/>
      </c>
      <c r="J96" s="47" t="n"/>
      <c r="K96" s="40" t="n"/>
      <c r="L96" s="40" t="n"/>
      <c r="M96" s="40" t="n"/>
      <c r="N96" s="40" t="n"/>
      <c r="O96" s="40">
        <f>IF($B96="","",IFERROR(INDEX('CHUYÊN CẦN'!$C$3:$N$202,MATCH($A96,'CHUYÊN CẦN'!$A$3:$A$202,0),MONTH(TODAY())),0))</f>
        <v/>
      </c>
      <c r="P96" s="44">
        <f>IF($B96="","",IF(SUMPRODUCT(MAX(('NHẬT KÝ CSKH'!$B$3:$B$1000=$A96)*'NHẬT KÝ CSKH'!$A$3:$A$1000))=0,"",SUMPRODUCT(MAX(('NHẬT KÝ CSKH'!$B$3:$B$1000=$A96)*'NHẬT KÝ CSKH'!$A$3:$A$1000))))</f>
        <v/>
      </c>
      <c r="Q96" s="40">
        <f>IF($B96="","",IF($I96="","",$I96-TODAY()))</f>
        <v/>
      </c>
      <c r="R96" s="40">
        <f>IF($B96="","",IF($O96&gt;=3,2,0)+IF($K96="Còn nợ",2,0)+IF(AND($N96="Đang học",$Q96&lt;&gt;"",$Q96&gt;=0,$Q96&lt;=30),1,0)+IF($P96="",1,IF(TODAY()-$P96&gt;60,1,0)))</f>
        <v/>
      </c>
      <c r="S96" s="40">
        <f>IF($B96="","",IF($R96&gt;=3,"CAO",IF($R96&gt;=1,"TRUNG BÌNH","THẤP")))</f>
        <v/>
      </c>
      <c r="T96" s="40" t="n"/>
      <c r="U96" s="40" t="n"/>
      <c r="V96" s="40" t="n"/>
      <c r="W96" s="40" t="n"/>
      <c r="X96" s="40" t="n"/>
      <c r="Y96" s="40" t="n"/>
      <c r="Z96" s="40" t="n"/>
      <c r="AA96" s="40" t="n"/>
      <c r="AB96" s="40" t="n"/>
      <c r="AC96" s="40" t="n"/>
      <c r="AD96" s="40" t="n"/>
      <c r="AE96" s="40" t="n"/>
      <c r="AF96" s="40" t="n"/>
      <c r="AG96" s="40" t="n"/>
      <c r="AH96" s="40" t="n"/>
      <c r="AI96" s="40" t="n"/>
      <c r="AJ96" s="40" t="n"/>
      <c r="AK96" s="40" t="n"/>
      <c r="AL96" s="40" t="n"/>
      <c r="AM96" s="40" t="n"/>
      <c r="AN96" s="40" t="n"/>
      <c r="AO96" s="40" t="n"/>
      <c r="AP96" s="40" t="n"/>
      <c r="AQ96" s="40" t="n"/>
    </row>
    <row r="97">
      <c r="A97" s="40" t="inlineStr">
        <is>
          <t>ORI094</t>
        </is>
      </c>
      <c r="B97" s="46" t="n"/>
      <c r="C97" s="40" t="n"/>
      <c r="D97" s="40" t="n"/>
      <c r="E97" s="40" t="n"/>
      <c r="F97" s="44" t="n"/>
      <c r="G97" s="40" t="n"/>
      <c r="H97" s="40" t="n"/>
      <c r="I97" s="44">
        <f>IFERROR(EDATE(F97,H97),"")</f>
        <v/>
      </c>
      <c r="J97" s="47" t="n"/>
      <c r="K97" s="40" t="n"/>
      <c r="L97" s="40" t="n"/>
      <c r="M97" s="40" t="n"/>
      <c r="N97" s="40" t="n"/>
      <c r="O97" s="40">
        <f>IF($B97="","",IFERROR(INDEX('CHUYÊN CẦN'!$C$3:$N$202,MATCH($A97,'CHUYÊN CẦN'!$A$3:$A$202,0),MONTH(TODAY())),0))</f>
        <v/>
      </c>
      <c r="P97" s="44">
        <f>IF($B97="","",IF(SUMPRODUCT(MAX(('NHẬT KÝ CSKH'!$B$3:$B$1000=$A97)*'NHẬT KÝ CSKH'!$A$3:$A$1000))=0,"",SUMPRODUCT(MAX(('NHẬT KÝ CSKH'!$B$3:$B$1000=$A97)*'NHẬT KÝ CSKH'!$A$3:$A$1000))))</f>
        <v/>
      </c>
      <c r="Q97" s="40">
        <f>IF($B97="","",IF($I97="","",$I97-TODAY()))</f>
        <v/>
      </c>
      <c r="R97" s="40">
        <f>IF($B97="","",IF($O97&gt;=3,2,0)+IF($K97="Còn nợ",2,0)+IF(AND($N97="Đang học",$Q97&lt;&gt;"",$Q97&gt;=0,$Q97&lt;=30),1,0)+IF($P97="",1,IF(TODAY()-$P97&gt;60,1,0)))</f>
        <v/>
      </c>
      <c r="S97" s="40">
        <f>IF($B97="","",IF($R97&gt;=3,"CAO",IF($R97&gt;=1,"TRUNG BÌNH","THẤP")))</f>
        <v/>
      </c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  <c r="AO97" s="40" t="n"/>
      <c r="AP97" s="40" t="n"/>
      <c r="AQ97" s="40" t="n"/>
    </row>
    <row r="98">
      <c r="A98" s="40" t="inlineStr">
        <is>
          <t>ORI095</t>
        </is>
      </c>
      <c r="B98" s="46" t="n"/>
      <c r="C98" s="40" t="n"/>
      <c r="D98" s="40" t="n"/>
      <c r="E98" s="40" t="n"/>
      <c r="F98" s="44" t="n"/>
      <c r="G98" s="40" t="n"/>
      <c r="H98" s="40" t="n"/>
      <c r="I98" s="44">
        <f>IFERROR(EDATE(F98,H98),"")</f>
        <v/>
      </c>
      <c r="J98" s="47" t="n"/>
      <c r="K98" s="40" t="n"/>
      <c r="L98" s="40" t="n"/>
      <c r="M98" s="40" t="n"/>
      <c r="N98" s="40" t="n"/>
      <c r="O98" s="40">
        <f>IF($B98="","",IFERROR(INDEX('CHUYÊN CẦN'!$C$3:$N$202,MATCH($A98,'CHUYÊN CẦN'!$A$3:$A$202,0),MONTH(TODAY())),0))</f>
        <v/>
      </c>
      <c r="P98" s="44">
        <f>IF($B98="","",IF(SUMPRODUCT(MAX(('NHẬT KÝ CSKH'!$B$3:$B$1000=$A98)*'NHẬT KÝ CSKH'!$A$3:$A$1000))=0,"",SUMPRODUCT(MAX(('NHẬT KÝ CSKH'!$B$3:$B$1000=$A98)*'NHẬT KÝ CSKH'!$A$3:$A$1000))))</f>
        <v/>
      </c>
      <c r="Q98" s="40">
        <f>IF($B98="","",IF($I98="","",$I98-TODAY()))</f>
        <v/>
      </c>
      <c r="R98" s="40">
        <f>IF($B98="","",IF($O98&gt;=3,2,0)+IF($K98="Còn nợ",2,0)+IF(AND($N98="Đang học",$Q98&lt;&gt;"",$Q98&gt;=0,$Q98&lt;=30),1,0)+IF($P98="",1,IF(TODAY()-$P98&gt;60,1,0)))</f>
        <v/>
      </c>
      <c r="S98" s="40">
        <f>IF($B98="","",IF($R98&gt;=3,"CAO",IF($R98&gt;=1,"TRUNG BÌNH","THẤP")))</f>
        <v/>
      </c>
      <c r="T98" s="40" t="n"/>
      <c r="U98" s="40" t="n"/>
      <c r="V98" s="40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40" t="n"/>
      <c r="AF98" s="40" t="n"/>
      <c r="AG98" s="40" t="n"/>
      <c r="AH98" s="40" t="n"/>
      <c r="AI98" s="40" t="n"/>
      <c r="AJ98" s="40" t="n"/>
      <c r="AK98" s="40" t="n"/>
      <c r="AL98" s="40" t="n"/>
      <c r="AM98" s="40" t="n"/>
      <c r="AN98" s="40" t="n"/>
      <c r="AO98" s="40" t="n"/>
      <c r="AP98" s="40" t="n"/>
      <c r="AQ98" s="40" t="n"/>
    </row>
    <row r="99">
      <c r="A99" s="40" t="inlineStr">
        <is>
          <t>ORI096</t>
        </is>
      </c>
      <c r="B99" s="46" t="n"/>
      <c r="C99" s="40" t="n"/>
      <c r="D99" s="40" t="n"/>
      <c r="E99" s="40" t="n"/>
      <c r="F99" s="44" t="n"/>
      <c r="G99" s="40" t="n"/>
      <c r="H99" s="40" t="n"/>
      <c r="I99" s="44">
        <f>IFERROR(EDATE(F99,H99),"")</f>
        <v/>
      </c>
      <c r="J99" s="47" t="n"/>
      <c r="K99" s="40" t="n"/>
      <c r="L99" s="40" t="n"/>
      <c r="M99" s="40" t="n"/>
      <c r="N99" s="40" t="n"/>
      <c r="O99" s="40">
        <f>IF($B99="","",IFERROR(INDEX('CHUYÊN CẦN'!$C$3:$N$202,MATCH($A99,'CHUYÊN CẦN'!$A$3:$A$202,0),MONTH(TODAY())),0))</f>
        <v/>
      </c>
      <c r="P99" s="44">
        <f>IF($B99="","",IF(SUMPRODUCT(MAX(('NHẬT KÝ CSKH'!$B$3:$B$1000=$A99)*'NHẬT KÝ CSKH'!$A$3:$A$1000))=0,"",SUMPRODUCT(MAX(('NHẬT KÝ CSKH'!$B$3:$B$1000=$A99)*'NHẬT KÝ CSKH'!$A$3:$A$1000))))</f>
        <v/>
      </c>
      <c r="Q99" s="40">
        <f>IF($B99="","",IF($I99="","",$I99-TODAY()))</f>
        <v/>
      </c>
      <c r="R99" s="40">
        <f>IF($B99="","",IF($O99&gt;=3,2,0)+IF($K99="Còn nợ",2,0)+IF(AND($N99="Đang học",$Q99&lt;&gt;"",$Q99&gt;=0,$Q99&lt;=30),1,0)+IF($P99="",1,IF(TODAY()-$P99&gt;60,1,0)))</f>
        <v/>
      </c>
      <c r="S99" s="40">
        <f>IF($B99="","",IF($R99&gt;=3,"CAO",IF($R99&gt;=1,"TRUNG BÌNH","THẤP")))</f>
        <v/>
      </c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  <c r="AO99" s="40" t="n"/>
      <c r="AP99" s="40" t="n"/>
      <c r="AQ99" s="40" t="n"/>
    </row>
    <row r="100">
      <c r="A100" s="40" t="inlineStr">
        <is>
          <t>ORI097</t>
        </is>
      </c>
      <c r="B100" s="46" t="n"/>
      <c r="C100" s="40" t="n"/>
      <c r="D100" s="40" t="n"/>
      <c r="E100" s="40" t="n"/>
      <c r="F100" s="44" t="n"/>
      <c r="G100" s="40" t="n"/>
      <c r="H100" s="40" t="n"/>
      <c r="I100" s="44">
        <f>IFERROR(EDATE(F100,H100),"")</f>
        <v/>
      </c>
      <c r="J100" s="47" t="n"/>
      <c r="K100" s="40" t="n"/>
      <c r="L100" s="40" t="n"/>
      <c r="M100" s="40" t="n"/>
      <c r="N100" s="40" t="n"/>
      <c r="O100" s="40">
        <f>IF($B100="","",IFERROR(INDEX('CHUYÊN CẦN'!$C$3:$N$202,MATCH($A100,'CHUYÊN CẦN'!$A$3:$A$202,0),MONTH(TODAY())),0))</f>
        <v/>
      </c>
      <c r="P100" s="44">
        <f>IF($B100="","",IF(SUMPRODUCT(MAX(('NHẬT KÝ CSKH'!$B$3:$B$1000=$A100)*'NHẬT KÝ CSKH'!$A$3:$A$1000))=0,"",SUMPRODUCT(MAX(('NHẬT KÝ CSKH'!$B$3:$B$1000=$A100)*'NHẬT KÝ CSKH'!$A$3:$A$1000))))</f>
        <v/>
      </c>
      <c r="Q100" s="40">
        <f>IF($B100="","",IF($I100="","",$I100-TODAY()))</f>
        <v/>
      </c>
      <c r="R100" s="40">
        <f>IF($B100="","",IF($O100&gt;=3,2,0)+IF($K100="Còn nợ",2,0)+IF(AND($N100="Đang học",$Q100&lt;&gt;"",$Q100&gt;=0,$Q100&lt;=30),1,0)+IF($P100="",1,IF(TODAY()-$P100&gt;60,1,0)))</f>
        <v/>
      </c>
      <c r="S100" s="40">
        <f>IF($B100="","",IF($R100&gt;=3,"CAO",IF($R100&gt;=1,"TRUNG BÌNH","THẤP")))</f>
        <v/>
      </c>
      <c r="T100" s="40" t="n"/>
      <c r="U100" s="40" t="n"/>
      <c r="V100" s="40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  <c r="AE100" s="40" t="n"/>
      <c r="AF100" s="40" t="n"/>
      <c r="AG100" s="40" t="n"/>
      <c r="AH100" s="40" t="n"/>
      <c r="AI100" s="40" t="n"/>
      <c r="AJ100" s="40" t="n"/>
      <c r="AK100" s="40" t="n"/>
      <c r="AL100" s="40" t="n"/>
      <c r="AM100" s="40" t="n"/>
      <c r="AN100" s="40" t="n"/>
      <c r="AO100" s="40" t="n"/>
      <c r="AP100" s="40" t="n"/>
      <c r="AQ100" s="40" t="n"/>
    </row>
    <row r="101">
      <c r="A101" s="40" t="inlineStr">
        <is>
          <t>ORI098</t>
        </is>
      </c>
      <c r="B101" s="46" t="n"/>
      <c r="C101" s="40" t="n"/>
      <c r="D101" s="40" t="n"/>
      <c r="E101" s="40" t="n"/>
      <c r="F101" s="44" t="n"/>
      <c r="G101" s="40" t="n"/>
      <c r="H101" s="40" t="n"/>
      <c r="I101" s="44">
        <f>IFERROR(EDATE(F101,H101),"")</f>
        <v/>
      </c>
      <c r="J101" s="47" t="n"/>
      <c r="K101" s="40" t="n"/>
      <c r="L101" s="40" t="n"/>
      <c r="M101" s="40" t="n"/>
      <c r="N101" s="40" t="n"/>
      <c r="O101" s="40">
        <f>IF($B101="","",IFERROR(INDEX('CHUYÊN CẦN'!$C$3:$N$202,MATCH($A101,'CHUYÊN CẦN'!$A$3:$A$202,0),MONTH(TODAY())),0))</f>
        <v/>
      </c>
      <c r="P101" s="44">
        <f>IF($B101="","",IF(SUMPRODUCT(MAX(('NHẬT KÝ CSKH'!$B$3:$B$1000=$A101)*'NHẬT KÝ CSKH'!$A$3:$A$1000))=0,"",SUMPRODUCT(MAX(('NHẬT KÝ CSKH'!$B$3:$B$1000=$A101)*'NHẬT KÝ CSKH'!$A$3:$A$1000))))</f>
        <v/>
      </c>
      <c r="Q101" s="40">
        <f>IF($B101="","",IF($I101="","",$I101-TODAY()))</f>
        <v/>
      </c>
      <c r="R101" s="40">
        <f>IF($B101="","",IF($O101&gt;=3,2,0)+IF($K101="Còn nợ",2,0)+IF(AND($N101="Đang học",$Q101&lt;&gt;"",$Q101&gt;=0,$Q101&lt;=30),1,0)+IF($P101="",1,IF(TODAY()-$P101&gt;60,1,0)))</f>
        <v/>
      </c>
      <c r="S101" s="40">
        <f>IF($B101="","",IF($R101&gt;=3,"CAO",IF($R101&gt;=1,"TRUNG BÌNH","THẤP")))</f>
        <v/>
      </c>
      <c r="T101" s="40" t="n"/>
      <c r="U101" s="40" t="n"/>
      <c r="V101" s="40" t="n"/>
      <c r="W101" s="40" t="n"/>
      <c r="X101" s="40" t="n"/>
      <c r="Y101" s="40" t="n"/>
      <c r="Z101" s="40" t="n"/>
      <c r="AA101" s="40" t="n"/>
      <c r="AB101" s="40" t="n"/>
      <c r="AC101" s="40" t="n"/>
      <c r="AD101" s="40" t="n"/>
      <c r="AE101" s="40" t="n"/>
      <c r="AF101" s="40" t="n"/>
      <c r="AG101" s="40" t="n"/>
      <c r="AH101" s="40" t="n"/>
      <c r="AI101" s="40" t="n"/>
      <c r="AJ101" s="40" t="n"/>
      <c r="AK101" s="40" t="n"/>
      <c r="AL101" s="40" t="n"/>
      <c r="AM101" s="40" t="n"/>
      <c r="AN101" s="40" t="n"/>
      <c r="AO101" s="40" t="n"/>
      <c r="AP101" s="40" t="n"/>
      <c r="AQ101" s="40" t="n"/>
    </row>
    <row r="102">
      <c r="A102" s="40" t="inlineStr">
        <is>
          <t>ORI099</t>
        </is>
      </c>
      <c r="B102" s="46" t="n"/>
      <c r="C102" s="40" t="n"/>
      <c r="D102" s="40" t="n"/>
      <c r="E102" s="40" t="n"/>
      <c r="F102" s="44" t="n"/>
      <c r="G102" s="40" t="n"/>
      <c r="H102" s="40" t="n"/>
      <c r="I102" s="44">
        <f>IFERROR(EDATE(F102,H102),"")</f>
        <v/>
      </c>
      <c r="J102" s="47" t="n"/>
      <c r="K102" s="40" t="n"/>
      <c r="L102" s="40" t="n"/>
      <c r="M102" s="40" t="n"/>
      <c r="N102" s="40" t="n"/>
      <c r="O102" s="40">
        <f>IF($B102="","",IFERROR(INDEX('CHUYÊN CẦN'!$C$3:$N$202,MATCH($A102,'CHUYÊN CẦN'!$A$3:$A$202,0),MONTH(TODAY())),0))</f>
        <v/>
      </c>
      <c r="P102" s="44">
        <f>IF($B102="","",IF(SUMPRODUCT(MAX(('NHẬT KÝ CSKH'!$B$3:$B$1000=$A102)*'NHẬT KÝ CSKH'!$A$3:$A$1000))=0,"",SUMPRODUCT(MAX(('NHẬT KÝ CSKH'!$B$3:$B$1000=$A102)*'NHẬT KÝ CSKH'!$A$3:$A$1000))))</f>
        <v/>
      </c>
      <c r="Q102" s="40">
        <f>IF($B102="","",IF($I102="","",$I102-TODAY()))</f>
        <v/>
      </c>
      <c r="R102" s="40">
        <f>IF($B102="","",IF($O102&gt;=3,2,0)+IF($K102="Còn nợ",2,0)+IF(AND($N102="Đang học",$Q102&lt;&gt;"",$Q102&gt;=0,$Q102&lt;=30),1,0)+IF($P102="",1,IF(TODAY()-$P102&gt;60,1,0)))</f>
        <v/>
      </c>
      <c r="S102" s="40">
        <f>IF($B102="","",IF($R102&gt;=3,"CAO",IF($R102&gt;=1,"TRUNG BÌNH","THẤP")))</f>
        <v/>
      </c>
      <c r="T102" s="40" t="n"/>
      <c r="U102" s="40" t="n"/>
      <c r="V102" s="40" t="n"/>
      <c r="W102" s="40" t="n"/>
      <c r="X102" s="40" t="n"/>
      <c r="Y102" s="40" t="n"/>
      <c r="Z102" s="40" t="n"/>
      <c r="AA102" s="40" t="n"/>
      <c r="AB102" s="40" t="n"/>
      <c r="AC102" s="40" t="n"/>
      <c r="AD102" s="40" t="n"/>
      <c r="AE102" s="40" t="n"/>
      <c r="AF102" s="40" t="n"/>
      <c r="AG102" s="40" t="n"/>
      <c r="AH102" s="40" t="n"/>
      <c r="AI102" s="40" t="n"/>
      <c r="AJ102" s="40" t="n"/>
      <c r="AK102" s="40" t="n"/>
      <c r="AL102" s="40" t="n"/>
      <c r="AM102" s="40" t="n"/>
      <c r="AN102" s="40" t="n"/>
      <c r="AO102" s="40" t="n"/>
      <c r="AP102" s="40" t="n"/>
      <c r="AQ102" s="40" t="n"/>
    </row>
    <row r="103">
      <c r="A103" s="40" t="inlineStr">
        <is>
          <t>ORI100</t>
        </is>
      </c>
      <c r="B103" s="46" t="n"/>
      <c r="C103" s="40" t="n"/>
      <c r="D103" s="40" t="n"/>
      <c r="E103" s="40" t="n"/>
      <c r="F103" s="44" t="n"/>
      <c r="G103" s="40" t="n"/>
      <c r="H103" s="40" t="n"/>
      <c r="I103" s="44">
        <f>IFERROR(EDATE(F103,H103),"")</f>
        <v/>
      </c>
      <c r="J103" s="47" t="n"/>
      <c r="K103" s="40" t="n"/>
      <c r="L103" s="40" t="n"/>
      <c r="M103" s="40" t="n"/>
      <c r="N103" s="40" t="n"/>
      <c r="O103" s="40">
        <f>IF($B103="","",IFERROR(INDEX('CHUYÊN CẦN'!$C$3:$N$202,MATCH($A103,'CHUYÊN CẦN'!$A$3:$A$202,0),MONTH(TODAY())),0))</f>
        <v/>
      </c>
      <c r="P103" s="44">
        <f>IF($B103="","",IF(SUMPRODUCT(MAX(('NHẬT KÝ CSKH'!$B$3:$B$1000=$A103)*'NHẬT KÝ CSKH'!$A$3:$A$1000))=0,"",SUMPRODUCT(MAX(('NHẬT KÝ CSKH'!$B$3:$B$1000=$A103)*'NHẬT KÝ CSKH'!$A$3:$A$1000))))</f>
        <v/>
      </c>
      <c r="Q103" s="40">
        <f>IF($B103="","",IF($I103="","",$I103-TODAY()))</f>
        <v/>
      </c>
      <c r="R103" s="40">
        <f>IF($B103="","",IF($O103&gt;=3,2,0)+IF($K103="Còn nợ",2,0)+IF(AND($N103="Đang học",$Q103&lt;&gt;"",$Q103&gt;=0,$Q103&lt;=30),1,0)+IF($P103="",1,IF(TODAY()-$P103&gt;60,1,0)))</f>
        <v/>
      </c>
      <c r="S103" s="40">
        <f>IF($B103="","",IF($R103&gt;=3,"CAO",IF($R103&gt;=1,"TRUNG BÌNH","THẤP")))</f>
        <v/>
      </c>
      <c r="T103" s="40" t="n"/>
      <c r="U103" s="40" t="n"/>
      <c r="V103" s="40" t="n"/>
      <c r="W103" s="40" t="n"/>
      <c r="X103" s="40" t="n"/>
      <c r="Y103" s="40" t="n"/>
      <c r="Z103" s="40" t="n"/>
      <c r="AA103" s="40" t="n"/>
      <c r="AB103" s="40" t="n"/>
      <c r="AC103" s="40" t="n"/>
      <c r="AD103" s="40" t="n"/>
      <c r="AE103" s="40" t="n"/>
      <c r="AF103" s="40" t="n"/>
      <c r="AG103" s="40" t="n"/>
      <c r="AH103" s="40" t="n"/>
      <c r="AI103" s="40" t="n"/>
      <c r="AJ103" s="40" t="n"/>
      <c r="AK103" s="40" t="n"/>
      <c r="AL103" s="40" t="n"/>
      <c r="AM103" s="40" t="n"/>
      <c r="AN103" s="40" t="n"/>
      <c r="AO103" s="40" t="n"/>
      <c r="AP103" s="40" t="n"/>
      <c r="AQ103" s="40" t="n"/>
    </row>
    <row r="104">
      <c r="A104" s="40" t="inlineStr">
        <is>
          <t>ORI101</t>
        </is>
      </c>
      <c r="B104" s="46" t="n"/>
      <c r="C104" s="40" t="n"/>
      <c r="D104" s="40" t="n"/>
      <c r="E104" s="40" t="n"/>
      <c r="F104" s="44" t="n"/>
      <c r="G104" s="40" t="n"/>
      <c r="H104" s="40" t="n"/>
      <c r="I104" s="44">
        <f>IFERROR(EDATE(F104,H104),"")</f>
        <v/>
      </c>
      <c r="J104" s="47" t="n"/>
      <c r="K104" s="40" t="n"/>
      <c r="L104" s="40" t="n"/>
      <c r="M104" s="40" t="n"/>
      <c r="N104" s="40" t="n"/>
      <c r="O104" s="40">
        <f>IF($B104="","",IFERROR(INDEX('CHUYÊN CẦN'!$C$3:$N$202,MATCH($A104,'CHUYÊN CẦN'!$A$3:$A$202,0),MONTH(TODAY())),0))</f>
        <v/>
      </c>
      <c r="P104" s="44">
        <f>IF($B104="","",IF(SUMPRODUCT(MAX(('NHẬT KÝ CSKH'!$B$3:$B$1000=$A104)*'NHẬT KÝ CSKH'!$A$3:$A$1000))=0,"",SUMPRODUCT(MAX(('NHẬT KÝ CSKH'!$B$3:$B$1000=$A104)*'NHẬT KÝ CSKH'!$A$3:$A$1000))))</f>
        <v/>
      </c>
      <c r="Q104" s="40">
        <f>IF($B104="","",IF($I104="","",$I104-TODAY()))</f>
        <v/>
      </c>
      <c r="R104" s="40">
        <f>IF($B104="","",IF($O104&gt;=3,2,0)+IF($K104="Còn nợ",2,0)+IF(AND($N104="Đang học",$Q104&lt;&gt;"",$Q104&gt;=0,$Q104&lt;=30),1,0)+IF($P104="",1,IF(TODAY()-$P104&gt;60,1,0)))</f>
        <v/>
      </c>
      <c r="S104" s="40">
        <f>IF($B104="","",IF($R104&gt;=3,"CAO",IF($R104&gt;=1,"TRUNG BÌNH","THẤP")))</f>
        <v/>
      </c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  <c r="AO104" s="40" t="n"/>
      <c r="AP104" s="40" t="n"/>
      <c r="AQ104" s="40" t="n"/>
    </row>
    <row r="105">
      <c r="A105" s="40" t="inlineStr">
        <is>
          <t>ORI102</t>
        </is>
      </c>
      <c r="B105" s="46" t="n"/>
      <c r="C105" s="40" t="n"/>
      <c r="D105" s="40" t="n"/>
      <c r="E105" s="40" t="n"/>
      <c r="F105" s="44" t="n"/>
      <c r="G105" s="40" t="n"/>
      <c r="H105" s="40" t="n"/>
      <c r="I105" s="44">
        <f>IFERROR(EDATE(F105,H105),"")</f>
        <v/>
      </c>
      <c r="J105" s="47" t="n"/>
      <c r="K105" s="40" t="n"/>
      <c r="L105" s="40" t="n"/>
      <c r="M105" s="40" t="n"/>
      <c r="N105" s="40" t="n"/>
      <c r="O105" s="40">
        <f>IF($B105="","",IFERROR(INDEX('CHUYÊN CẦN'!$C$3:$N$202,MATCH($A105,'CHUYÊN CẦN'!$A$3:$A$202,0),MONTH(TODAY())),0))</f>
        <v/>
      </c>
      <c r="P105" s="44">
        <f>IF($B105="","",IF(SUMPRODUCT(MAX(('NHẬT KÝ CSKH'!$B$3:$B$1000=$A105)*'NHẬT KÝ CSKH'!$A$3:$A$1000))=0,"",SUMPRODUCT(MAX(('NHẬT KÝ CSKH'!$B$3:$B$1000=$A105)*'NHẬT KÝ CSKH'!$A$3:$A$1000))))</f>
        <v/>
      </c>
      <c r="Q105" s="40">
        <f>IF($B105="","",IF($I105="","",$I105-TODAY()))</f>
        <v/>
      </c>
      <c r="R105" s="40">
        <f>IF($B105="","",IF($O105&gt;=3,2,0)+IF($K105="Còn nợ",2,0)+IF(AND($N105="Đang học",$Q105&lt;&gt;"",$Q105&gt;=0,$Q105&lt;=30),1,0)+IF($P105="",1,IF(TODAY()-$P105&gt;60,1,0)))</f>
        <v/>
      </c>
      <c r="S105" s="40">
        <f>IF($B105="","",IF($R105&gt;=3,"CAO",IF($R105&gt;=1,"TRUNG BÌNH","THẤP")))</f>
        <v/>
      </c>
      <c r="T105" s="40" t="n"/>
      <c r="U105" s="40" t="n"/>
      <c r="V105" s="40" t="n"/>
      <c r="W105" s="40" t="n"/>
      <c r="X105" s="40" t="n"/>
      <c r="Y105" s="40" t="n"/>
      <c r="Z105" s="40" t="n"/>
      <c r="AA105" s="40" t="n"/>
      <c r="AB105" s="40" t="n"/>
      <c r="AC105" s="40" t="n"/>
      <c r="AD105" s="40" t="n"/>
      <c r="AE105" s="40" t="n"/>
      <c r="AF105" s="40" t="n"/>
      <c r="AG105" s="40" t="n"/>
      <c r="AH105" s="40" t="n"/>
      <c r="AI105" s="40" t="n"/>
      <c r="AJ105" s="40" t="n"/>
      <c r="AK105" s="40" t="n"/>
      <c r="AL105" s="40" t="n"/>
      <c r="AM105" s="40" t="n"/>
      <c r="AN105" s="40" t="n"/>
      <c r="AO105" s="40" t="n"/>
      <c r="AP105" s="40" t="n"/>
      <c r="AQ105" s="40" t="n"/>
    </row>
    <row r="106">
      <c r="A106" s="40" t="inlineStr">
        <is>
          <t>ORI103</t>
        </is>
      </c>
      <c r="B106" s="46" t="n"/>
      <c r="C106" s="40" t="n"/>
      <c r="D106" s="40" t="n"/>
      <c r="E106" s="40" t="n"/>
      <c r="F106" s="44" t="n"/>
      <c r="G106" s="40" t="n"/>
      <c r="H106" s="40" t="n"/>
      <c r="I106" s="44">
        <f>IFERROR(EDATE(F106,H106),"")</f>
        <v/>
      </c>
      <c r="J106" s="47" t="n"/>
      <c r="K106" s="40" t="n"/>
      <c r="L106" s="40" t="n"/>
      <c r="M106" s="40" t="n"/>
      <c r="N106" s="40" t="n"/>
      <c r="O106" s="40">
        <f>IF($B106="","",IFERROR(INDEX('CHUYÊN CẦN'!$C$3:$N$202,MATCH($A106,'CHUYÊN CẦN'!$A$3:$A$202,0),MONTH(TODAY())),0))</f>
        <v/>
      </c>
      <c r="P106" s="44">
        <f>IF($B106="","",IF(SUMPRODUCT(MAX(('NHẬT KÝ CSKH'!$B$3:$B$1000=$A106)*'NHẬT KÝ CSKH'!$A$3:$A$1000))=0,"",SUMPRODUCT(MAX(('NHẬT KÝ CSKH'!$B$3:$B$1000=$A106)*'NHẬT KÝ CSKH'!$A$3:$A$1000))))</f>
        <v/>
      </c>
      <c r="Q106" s="40">
        <f>IF($B106="","",IF($I106="","",$I106-TODAY()))</f>
        <v/>
      </c>
      <c r="R106" s="40">
        <f>IF($B106="","",IF($O106&gt;=3,2,0)+IF($K106="Còn nợ",2,0)+IF(AND($N106="Đang học",$Q106&lt;&gt;"",$Q106&gt;=0,$Q106&lt;=30),1,0)+IF($P106="",1,IF(TODAY()-$P106&gt;60,1,0)))</f>
        <v/>
      </c>
      <c r="S106" s="40">
        <f>IF($B106="","",IF($R106&gt;=3,"CAO",IF($R106&gt;=1,"TRUNG BÌNH","THẤP")))</f>
        <v/>
      </c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  <c r="AO106" s="40" t="n"/>
      <c r="AP106" s="40" t="n"/>
      <c r="AQ106" s="40" t="n"/>
    </row>
    <row r="107">
      <c r="A107" s="40" t="inlineStr">
        <is>
          <t>ORI104</t>
        </is>
      </c>
      <c r="B107" s="46" t="n"/>
      <c r="C107" s="40" t="n"/>
      <c r="D107" s="40" t="n"/>
      <c r="E107" s="40" t="n"/>
      <c r="F107" s="44" t="n"/>
      <c r="G107" s="40" t="n"/>
      <c r="H107" s="40" t="n"/>
      <c r="I107" s="44">
        <f>IFERROR(EDATE(F107,H107),"")</f>
        <v/>
      </c>
      <c r="J107" s="47" t="n"/>
      <c r="K107" s="40" t="n"/>
      <c r="L107" s="40" t="n"/>
      <c r="M107" s="40" t="n"/>
      <c r="N107" s="40" t="n"/>
      <c r="O107" s="40">
        <f>IF($B107="","",IFERROR(INDEX('CHUYÊN CẦN'!$C$3:$N$202,MATCH($A107,'CHUYÊN CẦN'!$A$3:$A$202,0),MONTH(TODAY())),0))</f>
        <v/>
      </c>
      <c r="P107" s="44">
        <f>IF($B107="","",IF(SUMPRODUCT(MAX(('NHẬT KÝ CSKH'!$B$3:$B$1000=$A107)*'NHẬT KÝ CSKH'!$A$3:$A$1000))=0,"",SUMPRODUCT(MAX(('NHẬT KÝ CSKH'!$B$3:$B$1000=$A107)*'NHẬT KÝ CSKH'!$A$3:$A$1000))))</f>
        <v/>
      </c>
      <c r="Q107" s="40">
        <f>IF($B107="","",IF($I107="","",$I107-TODAY()))</f>
        <v/>
      </c>
      <c r="R107" s="40">
        <f>IF($B107="","",IF($O107&gt;=3,2,0)+IF($K107="Còn nợ",2,0)+IF(AND($N107="Đang học",$Q107&lt;&gt;"",$Q107&gt;=0,$Q107&lt;=30),1,0)+IF($P107="",1,IF(TODAY()-$P107&gt;60,1,0)))</f>
        <v/>
      </c>
      <c r="S107" s="40">
        <f>IF($B107="","",IF($R107&gt;=3,"CAO",IF($R107&gt;=1,"TRUNG BÌNH","THẤP")))</f>
        <v/>
      </c>
      <c r="T107" s="40" t="n"/>
      <c r="U107" s="40" t="n"/>
      <c r="V107" s="40" t="n"/>
      <c r="W107" s="40" t="n"/>
      <c r="X107" s="40" t="n"/>
      <c r="Y107" s="40" t="n"/>
      <c r="Z107" s="40" t="n"/>
      <c r="AA107" s="40" t="n"/>
      <c r="AB107" s="40" t="n"/>
      <c r="AC107" s="40" t="n"/>
      <c r="AD107" s="40" t="n"/>
      <c r="AE107" s="40" t="n"/>
      <c r="AF107" s="40" t="n"/>
      <c r="AG107" s="40" t="n"/>
      <c r="AH107" s="40" t="n"/>
      <c r="AI107" s="40" t="n"/>
      <c r="AJ107" s="40" t="n"/>
      <c r="AK107" s="40" t="n"/>
      <c r="AL107" s="40" t="n"/>
      <c r="AM107" s="40" t="n"/>
      <c r="AN107" s="40" t="n"/>
      <c r="AO107" s="40" t="n"/>
      <c r="AP107" s="40" t="n"/>
      <c r="AQ107" s="40" t="n"/>
    </row>
    <row r="108">
      <c r="A108" s="40" t="inlineStr">
        <is>
          <t>ORI105</t>
        </is>
      </c>
      <c r="B108" s="46" t="n"/>
      <c r="C108" s="40" t="n"/>
      <c r="D108" s="40" t="n"/>
      <c r="E108" s="40" t="n"/>
      <c r="F108" s="44" t="n"/>
      <c r="G108" s="40" t="n"/>
      <c r="H108" s="40" t="n"/>
      <c r="I108" s="44">
        <f>IFERROR(EDATE(F108,H108),"")</f>
        <v/>
      </c>
      <c r="J108" s="47" t="n"/>
      <c r="K108" s="40" t="n"/>
      <c r="L108" s="40" t="n"/>
      <c r="M108" s="40" t="n"/>
      <c r="N108" s="40" t="n"/>
      <c r="O108" s="40">
        <f>IF($B108="","",IFERROR(INDEX('CHUYÊN CẦN'!$C$3:$N$202,MATCH($A108,'CHUYÊN CẦN'!$A$3:$A$202,0),MONTH(TODAY())),0))</f>
        <v/>
      </c>
      <c r="P108" s="44">
        <f>IF($B108="","",IF(SUMPRODUCT(MAX(('NHẬT KÝ CSKH'!$B$3:$B$1000=$A108)*'NHẬT KÝ CSKH'!$A$3:$A$1000))=0,"",SUMPRODUCT(MAX(('NHẬT KÝ CSKH'!$B$3:$B$1000=$A108)*'NHẬT KÝ CSKH'!$A$3:$A$1000))))</f>
        <v/>
      </c>
      <c r="Q108" s="40">
        <f>IF($B108="","",IF($I108="","",$I108-TODAY()))</f>
        <v/>
      </c>
      <c r="R108" s="40">
        <f>IF($B108="","",IF($O108&gt;=3,2,0)+IF($K108="Còn nợ",2,0)+IF(AND($N108="Đang học",$Q108&lt;&gt;"",$Q108&gt;=0,$Q108&lt;=30),1,0)+IF($P108="",1,IF(TODAY()-$P108&gt;60,1,0)))</f>
        <v/>
      </c>
      <c r="S108" s="40">
        <f>IF($B108="","",IF($R108&gt;=3,"CAO",IF($R108&gt;=1,"TRUNG BÌNH","THẤP")))</f>
        <v/>
      </c>
      <c r="T108" s="40" t="n"/>
      <c r="U108" s="40" t="n"/>
      <c r="V108" s="40" t="n"/>
      <c r="W108" s="40" t="n"/>
      <c r="X108" s="40" t="n"/>
      <c r="Y108" s="40" t="n"/>
      <c r="Z108" s="40" t="n"/>
      <c r="AA108" s="40" t="n"/>
      <c r="AB108" s="40" t="n"/>
      <c r="AC108" s="40" t="n"/>
      <c r="AD108" s="40" t="n"/>
      <c r="AE108" s="40" t="n"/>
      <c r="AF108" s="40" t="n"/>
      <c r="AG108" s="40" t="n"/>
      <c r="AH108" s="40" t="n"/>
      <c r="AI108" s="40" t="n"/>
      <c r="AJ108" s="40" t="n"/>
      <c r="AK108" s="40" t="n"/>
      <c r="AL108" s="40" t="n"/>
      <c r="AM108" s="40" t="n"/>
      <c r="AN108" s="40" t="n"/>
      <c r="AO108" s="40" t="n"/>
      <c r="AP108" s="40" t="n"/>
      <c r="AQ108" s="40" t="n"/>
    </row>
    <row r="109">
      <c r="A109" s="40" t="inlineStr">
        <is>
          <t>ORI106</t>
        </is>
      </c>
      <c r="B109" s="46" t="n"/>
      <c r="C109" s="40" t="n"/>
      <c r="D109" s="40" t="n"/>
      <c r="E109" s="40" t="n"/>
      <c r="F109" s="44" t="n"/>
      <c r="G109" s="40" t="n"/>
      <c r="H109" s="40" t="n"/>
      <c r="I109" s="44">
        <f>IFERROR(EDATE(F109,H109),"")</f>
        <v/>
      </c>
      <c r="J109" s="47" t="n"/>
      <c r="K109" s="40" t="n"/>
      <c r="L109" s="40" t="n"/>
      <c r="M109" s="40" t="n"/>
      <c r="N109" s="40" t="n"/>
      <c r="O109" s="40">
        <f>IF($B109="","",IFERROR(INDEX('CHUYÊN CẦN'!$C$3:$N$202,MATCH($A109,'CHUYÊN CẦN'!$A$3:$A$202,0),MONTH(TODAY())),0))</f>
        <v/>
      </c>
      <c r="P109" s="44">
        <f>IF($B109="","",IF(SUMPRODUCT(MAX(('NHẬT KÝ CSKH'!$B$3:$B$1000=$A109)*'NHẬT KÝ CSKH'!$A$3:$A$1000))=0,"",SUMPRODUCT(MAX(('NHẬT KÝ CSKH'!$B$3:$B$1000=$A109)*'NHẬT KÝ CSKH'!$A$3:$A$1000))))</f>
        <v/>
      </c>
      <c r="Q109" s="40">
        <f>IF($B109="","",IF($I109="","",$I109-TODAY()))</f>
        <v/>
      </c>
      <c r="R109" s="40">
        <f>IF($B109="","",IF($O109&gt;=3,2,0)+IF($K109="Còn nợ",2,0)+IF(AND($N109="Đang học",$Q109&lt;&gt;"",$Q109&gt;=0,$Q109&lt;=30),1,0)+IF($P109="",1,IF(TODAY()-$P109&gt;60,1,0)))</f>
        <v/>
      </c>
      <c r="S109" s="40">
        <f>IF($B109="","",IF($R109&gt;=3,"CAO",IF($R109&gt;=1,"TRUNG BÌNH","THẤP")))</f>
        <v/>
      </c>
      <c r="T109" s="40" t="n"/>
      <c r="U109" s="40" t="n"/>
      <c r="V109" s="40" t="n"/>
      <c r="W109" s="40" t="n"/>
      <c r="X109" s="40" t="n"/>
      <c r="Y109" s="40" t="n"/>
      <c r="Z109" s="40" t="n"/>
      <c r="AA109" s="40" t="n"/>
      <c r="AB109" s="40" t="n"/>
      <c r="AC109" s="40" t="n"/>
      <c r="AD109" s="40" t="n"/>
      <c r="AE109" s="40" t="n"/>
      <c r="AF109" s="40" t="n"/>
      <c r="AG109" s="40" t="n"/>
      <c r="AH109" s="40" t="n"/>
      <c r="AI109" s="40" t="n"/>
      <c r="AJ109" s="40" t="n"/>
      <c r="AK109" s="40" t="n"/>
      <c r="AL109" s="40" t="n"/>
      <c r="AM109" s="40" t="n"/>
      <c r="AN109" s="40" t="n"/>
      <c r="AO109" s="40" t="n"/>
      <c r="AP109" s="40" t="n"/>
      <c r="AQ109" s="40" t="n"/>
    </row>
    <row r="110">
      <c r="A110" s="40" t="inlineStr">
        <is>
          <t>ORI107</t>
        </is>
      </c>
      <c r="B110" s="46" t="n"/>
      <c r="C110" s="40" t="n"/>
      <c r="D110" s="40" t="n"/>
      <c r="E110" s="40" t="n"/>
      <c r="F110" s="44" t="n"/>
      <c r="G110" s="40" t="n"/>
      <c r="H110" s="40" t="n"/>
      <c r="I110" s="44">
        <f>IFERROR(EDATE(F110,H110),"")</f>
        <v/>
      </c>
      <c r="J110" s="47" t="n"/>
      <c r="K110" s="40" t="n"/>
      <c r="L110" s="40" t="n"/>
      <c r="M110" s="40" t="n"/>
      <c r="N110" s="40" t="n"/>
      <c r="O110" s="40">
        <f>IF($B110="","",IFERROR(INDEX('CHUYÊN CẦN'!$C$3:$N$202,MATCH($A110,'CHUYÊN CẦN'!$A$3:$A$202,0),MONTH(TODAY())),0))</f>
        <v/>
      </c>
      <c r="P110" s="44">
        <f>IF($B110="","",IF(SUMPRODUCT(MAX(('NHẬT KÝ CSKH'!$B$3:$B$1000=$A110)*'NHẬT KÝ CSKH'!$A$3:$A$1000))=0,"",SUMPRODUCT(MAX(('NHẬT KÝ CSKH'!$B$3:$B$1000=$A110)*'NHẬT KÝ CSKH'!$A$3:$A$1000))))</f>
        <v/>
      </c>
      <c r="Q110" s="40">
        <f>IF($B110="","",IF($I110="","",$I110-TODAY()))</f>
        <v/>
      </c>
      <c r="R110" s="40">
        <f>IF($B110="","",IF($O110&gt;=3,2,0)+IF($K110="Còn nợ",2,0)+IF(AND($N110="Đang học",$Q110&lt;&gt;"",$Q110&gt;=0,$Q110&lt;=30),1,0)+IF($P110="",1,IF(TODAY()-$P110&gt;60,1,0)))</f>
        <v/>
      </c>
      <c r="S110" s="40">
        <f>IF($B110="","",IF($R110&gt;=3,"CAO",IF($R110&gt;=1,"TRUNG BÌNH","THẤP")))</f>
        <v/>
      </c>
      <c r="T110" s="40" t="n"/>
      <c r="U110" s="40" t="n"/>
      <c r="V110" s="40" t="n"/>
      <c r="W110" s="40" t="n"/>
      <c r="X110" s="40" t="n"/>
      <c r="Y110" s="40" t="n"/>
      <c r="Z110" s="40" t="n"/>
      <c r="AA110" s="40" t="n"/>
      <c r="AB110" s="40" t="n"/>
      <c r="AC110" s="40" t="n"/>
      <c r="AD110" s="40" t="n"/>
      <c r="AE110" s="40" t="n"/>
      <c r="AF110" s="40" t="n"/>
      <c r="AG110" s="40" t="n"/>
      <c r="AH110" s="40" t="n"/>
      <c r="AI110" s="40" t="n"/>
      <c r="AJ110" s="40" t="n"/>
      <c r="AK110" s="40" t="n"/>
      <c r="AL110" s="40" t="n"/>
      <c r="AM110" s="40" t="n"/>
      <c r="AN110" s="40" t="n"/>
      <c r="AO110" s="40" t="n"/>
      <c r="AP110" s="40" t="n"/>
      <c r="AQ110" s="40" t="n"/>
    </row>
    <row r="111">
      <c r="A111" s="40" t="inlineStr">
        <is>
          <t>ORI108</t>
        </is>
      </c>
      <c r="B111" s="46" t="n"/>
      <c r="C111" s="40" t="n"/>
      <c r="D111" s="40" t="n"/>
      <c r="E111" s="40" t="n"/>
      <c r="F111" s="44" t="n"/>
      <c r="G111" s="40" t="n"/>
      <c r="H111" s="40" t="n"/>
      <c r="I111" s="44">
        <f>IFERROR(EDATE(F111,H111),"")</f>
        <v/>
      </c>
      <c r="J111" s="47" t="n"/>
      <c r="K111" s="40" t="n"/>
      <c r="L111" s="40" t="n"/>
      <c r="M111" s="40" t="n"/>
      <c r="N111" s="40" t="n"/>
      <c r="O111" s="40">
        <f>IF($B111="","",IFERROR(INDEX('CHUYÊN CẦN'!$C$3:$N$202,MATCH($A111,'CHUYÊN CẦN'!$A$3:$A$202,0),MONTH(TODAY())),0))</f>
        <v/>
      </c>
      <c r="P111" s="44">
        <f>IF($B111="","",IF(SUMPRODUCT(MAX(('NHẬT KÝ CSKH'!$B$3:$B$1000=$A111)*'NHẬT KÝ CSKH'!$A$3:$A$1000))=0,"",SUMPRODUCT(MAX(('NHẬT KÝ CSKH'!$B$3:$B$1000=$A111)*'NHẬT KÝ CSKH'!$A$3:$A$1000))))</f>
        <v/>
      </c>
      <c r="Q111" s="40">
        <f>IF($B111="","",IF($I111="","",$I111-TODAY()))</f>
        <v/>
      </c>
      <c r="R111" s="40">
        <f>IF($B111="","",IF($O111&gt;=3,2,0)+IF($K111="Còn nợ",2,0)+IF(AND($N111="Đang học",$Q111&lt;&gt;"",$Q111&gt;=0,$Q111&lt;=30),1,0)+IF($P111="",1,IF(TODAY()-$P111&gt;60,1,0)))</f>
        <v/>
      </c>
      <c r="S111" s="40">
        <f>IF($B111="","",IF($R111&gt;=3,"CAO",IF($R111&gt;=1,"TRUNG BÌNH","THẤP")))</f>
        <v/>
      </c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  <c r="AO111" s="40" t="n"/>
      <c r="AP111" s="40" t="n"/>
      <c r="AQ111" s="40" t="n"/>
    </row>
    <row r="112">
      <c r="A112" s="40" t="inlineStr">
        <is>
          <t>ORI109</t>
        </is>
      </c>
      <c r="B112" s="46" t="n"/>
      <c r="C112" s="40" t="n"/>
      <c r="D112" s="40" t="n"/>
      <c r="E112" s="40" t="n"/>
      <c r="F112" s="44" t="n"/>
      <c r="G112" s="40" t="n"/>
      <c r="H112" s="40" t="n"/>
      <c r="I112" s="44">
        <f>IFERROR(EDATE(F112,H112),"")</f>
        <v/>
      </c>
      <c r="J112" s="47" t="n"/>
      <c r="K112" s="40" t="n"/>
      <c r="L112" s="40" t="n"/>
      <c r="M112" s="40" t="n"/>
      <c r="N112" s="40" t="n"/>
      <c r="O112" s="40">
        <f>IF($B112="","",IFERROR(INDEX('CHUYÊN CẦN'!$C$3:$N$202,MATCH($A112,'CHUYÊN CẦN'!$A$3:$A$202,0),MONTH(TODAY())),0))</f>
        <v/>
      </c>
      <c r="P112" s="44">
        <f>IF($B112="","",IF(SUMPRODUCT(MAX(('NHẬT KÝ CSKH'!$B$3:$B$1000=$A112)*'NHẬT KÝ CSKH'!$A$3:$A$1000))=0,"",SUMPRODUCT(MAX(('NHẬT KÝ CSKH'!$B$3:$B$1000=$A112)*'NHẬT KÝ CSKH'!$A$3:$A$1000))))</f>
        <v/>
      </c>
      <c r="Q112" s="40">
        <f>IF($B112="","",IF($I112="","",$I112-TODAY()))</f>
        <v/>
      </c>
      <c r="R112" s="40">
        <f>IF($B112="","",IF($O112&gt;=3,2,0)+IF($K112="Còn nợ",2,0)+IF(AND($N112="Đang học",$Q112&lt;&gt;"",$Q112&gt;=0,$Q112&lt;=30),1,0)+IF($P112="",1,IF(TODAY()-$P112&gt;60,1,0)))</f>
        <v/>
      </c>
      <c r="S112" s="40">
        <f>IF($B112="","",IF($R112&gt;=3,"CAO",IF($R112&gt;=1,"TRUNG BÌNH","THẤP")))</f>
        <v/>
      </c>
      <c r="T112" s="40" t="n"/>
      <c r="U112" s="40" t="n"/>
      <c r="V112" s="40" t="n"/>
      <c r="W112" s="40" t="n"/>
      <c r="X112" s="40" t="n"/>
      <c r="Y112" s="40" t="n"/>
      <c r="Z112" s="40" t="n"/>
      <c r="AA112" s="40" t="n"/>
      <c r="AB112" s="40" t="n"/>
      <c r="AC112" s="40" t="n"/>
      <c r="AD112" s="40" t="n"/>
      <c r="AE112" s="40" t="n"/>
      <c r="AF112" s="40" t="n"/>
      <c r="AG112" s="40" t="n"/>
      <c r="AH112" s="40" t="n"/>
      <c r="AI112" s="40" t="n"/>
      <c r="AJ112" s="40" t="n"/>
      <c r="AK112" s="40" t="n"/>
      <c r="AL112" s="40" t="n"/>
      <c r="AM112" s="40" t="n"/>
      <c r="AN112" s="40" t="n"/>
      <c r="AO112" s="40" t="n"/>
      <c r="AP112" s="40" t="n"/>
      <c r="AQ112" s="40" t="n"/>
    </row>
    <row r="113">
      <c r="A113" s="40" t="inlineStr">
        <is>
          <t>ORI110</t>
        </is>
      </c>
      <c r="B113" s="46" t="n"/>
      <c r="C113" s="40" t="n"/>
      <c r="D113" s="40" t="n"/>
      <c r="E113" s="40" t="n"/>
      <c r="F113" s="44" t="n"/>
      <c r="G113" s="40" t="n"/>
      <c r="H113" s="40" t="n"/>
      <c r="I113" s="44">
        <f>IFERROR(EDATE(F113,H113),"")</f>
        <v/>
      </c>
      <c r="J113" s="47" t="n"/>
      <c r="K113" s="40" t="n"/>
      <c r="L113" s="40" t="n"/>
      <c r="M113" s="40" t="n"/>
      <c r="N113" s="40" t="n"/>
      <c r="O113" s="40">
        <f>IF($B113="","",IFERROR(INDEX('CHUYÊN CẦN'!$C$3:$N$202,MATCH($A113,'CHUYÊN CẦN'!$A$3:$A$202,0),MONTH(TODAY())),0))</f>
        <v/>
      </c>
      <c r="P113" s="44">
        <f>IF($B113="","",IF(SUMPRODUCT(MAX(('NHẬT KÝ CSKH'!$B$3:$B$1000=$A113)*'NHẬT KÝ CSKH'!$A$3:$A$1000))=0,"",SUMPRODUCT(MAX(('NHẬT KÝ CSKH'!$B$3:$B$1000=$A113)*'NHẬT KÝ CSKH'!$A$3:$A$1000))))</f>
        <v/>
      </c>
      <c r="Q113" s="40">
        <f>IF($B113="","",IF($I113="","",$I113-TODAY()))</f>
        <v/>
      </c>
      <c r="R113" s="40">
        <f>IF($B113="","",IF($O113&gt;=3,2,0)+IF($K113="Còn nợ",2,0)+IF(AND($N113="Đang học",$Q113&lt;&gt;"",$Q113&gt;=0,$Q113&lt;=30),1,0)+IF($P113="",1,IF(TODAY()-$P113&gt;60,1,0)))</f>
        <v/>
      </c>
      <c r="S113" s="40">
        <f>IF($B113="","",IF($R113&gt;=3,"CAO",IF($R113&gt;=1,"TRUNG BÌNH","THẤP")))</f>
        <v/>
      </c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</row>
    <row r="114">
      <c r="A114" s="40" t="inlineStr">
        <is>
          <t>ORI111</t>
        </is>
      </c>
      <c r="B114" s="46" t="n"/>
      <c r="C114" s="40" t="n"/>
      <c r="D114" s="40" t="n"/>
      <c r="E114" s="40" t="n"/>
      <c r="F114" s="44" t="n"/>
      <c r="G114" s="40" t="n"/>
      <c r="H114" s="40" t="n"/>
      <c r="I114" s="44">
        <f>IFERROR(EDATE(F114,H114),"")</f>
        <v/>
      </c>
      <c r="J114" s="47" t="n"/>
      <c r="K114" s="40" t="n"/>
      <c r="L114" s="40" t="n"/>
      <c r="M114" s="40" t="n"/>
      <c r="N114" s="40" t="n"/>
      <c r="O114" s="40">
        <f>IF($B114="","",IFERROR(INDEX('CHUYÊN CẦN'!$C$3:$N$202,MATCH($A114,'CHUYÊN CẦN'!$A$3:$A$202,0),MONTH(TODAY())),0))</f>
        <v/>
      </c>
      <c r="P114" s="44">
        <f>IF($B114="","",IF(SUMPRODUCT(MAX(('NHẬT KÝ CSKH'!$B$3:$B$1000=$A114)*'NHẬT KÝ CSKH'!$A$3:$A$1000))=0,"",SUMPRODUCT(MAX(('NHẬT KÝ CSKH'!$B$3:$B$1000=$A114)*'NHẬT KÝ CSKH'!$A$3:$A$1000))))</f>
        <v/>
      </c>
      <c r="Q114" s="40">
        <f>IF($B114="","",IF($I114="","",$I114-TODAY()))</f>
        <v/>
      </c>
      <c r="R114" s="40">
        <f>IF($B114="","",IF($O114&gt;=3,2,0)+IF($K114="Còn nợ",2,0)+IF(AND($N114="Đang học",$Q114&lt;&gt;"",$Q114&gt;=0,$Q114&lt;=30),1,0)+IF($P114="",1,IF(TODAY()-$P114&gt;60,1,0)))</f>
        <v/>
      </c>
      <c r="S114" s="40">
        <f>IF($B114="","",IF($R114&gt;=3,"CAO",IF($R114&gt;=1,"TRUNG BÌNH","THẤP")))</f>
        <v/>
      </c>
      <c r="T114" s="40" t="n"/>
      <c r="U114" s="40" t="n"/>
      <c r="V114" s="40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  <c r="AO114" s="40" t="n"/>
      <c r="AP114" s="40" t="n"/>
      <c r="AQ114" s="40" t="n"/>
    </row>
    <row r="115">
      <c r="A115" s="40" t="inlineStr">
        <is>
          <t>ORI112</t>
        </is>
      </c>
      <c r="B115" s="46" t="n"/>
      <c r="C115" s="40" t="n"/>
      <c r="D115" s="40" t="n"/>
      <c r="E115" s="40" t="n"/>
      <c r="F115" s="44" t="n"/>
      <c r="G115" s="40" t="n"/>
      <c r="H115" s="40" t="n"/>
      <c r="I115" s="44">
        <f>IFERROR(EDATE(F115,H115),"")</f>
        <v/>
      </c>
      <c r="J115" s="47" t="n"/>
      <c r="K115" s="40" t="n"/>
      <c r="L115" s="40" t="n"/>
      <c r="M115" s="40" t="n"/>
      <c r="N115" s="40" t="n"/>
      <c r="O115" s="40">
        <f>IF($B115="","",IFERROR(INDEX('CHUYÊN CẦN'!$C$3:$N$202,MATCH($A115,'CHUYÊN CẦN'!$A$3:$A$202,0),MONTH(TODAY())),0))</f>
        <v/>
      </c>
      <c r="P115" s="44">
        <f>IF($B115="","",IF(SUMPRODUCT(MAX(('NHẬT KÝ CSKH'!$B$3:$B$1000=$A115)*'NHẬT KÝ CSKH'!$A$3:$A$1000))=0,"",SUMPRODUCT(MAX(('NHẬT KÝ CSKH'!$B$3:$B$1000=$A115)*'NHẬT KÝ CSKH'!$A$3:$A$1000))))</f>
        <v/>
      </c>
      <c r="Q115" s="40">
        <f>IF($B115="","",IF($I115="","",$I115-TODAY()))</f>
        <v/>
      </c>
      <c r="R115" s="40">
        <f>IF($B115="","",IF($O115&gt;=3,2,0)+IF($K115="Còn nợ",2,0)+IF(AND($N115="Đang học",$Q115&lt;&gt;"",$Q115&gt;=0,$Q115&lt;=30),1,0)+IF($P115="",1,IF(TODAY()-$P115&gt;60,1,0)))</f>
        <v/>
      </c>
      <c r="S115" s="40">
        <f>IF($B115="","",IF($R115&gt;=3,"CAO",IF($R115&gt;=1,"TRUNG BÌNH","THẤP")))</f>
        <v/>
      </c>
      <c r="T115" s="40" t="n"/>
      <c r="U115" s="40" t="n"/>
      <c r="V115" s="40" t="n"/>
      <c r="W115" s="40" t="n"/>
      <c r="X115" s="40" t="n"/>
      <c r="Y115" s="40" t="n"/>
      <c r="Z115" s="40" t="n"/>
      <c r="AA115" s="40" t="n"/>
      <c r="AB115" s="40" t="n"/>
      <c r="AC115" s="40" t="n"/>
      <c r="AD115" s="40" t="n"/>
      <c r="AE115" s="40" t="n"/>
      <c r="AF115" s="40" t="n"/>
      <c r="AG115" s="40" t="n"/>
      <c r="AH115" s="40" t="n"/>
      <c r="AI115" s="40" t="n"/>
      <c r="AJ115" s="40" t="n"/>
      <c r="AK115" s="40" t="n"/>
      <c r="AL115" s="40" t="n"/>
      <c r="AM115" s="40" t="n"/>
      <c r="AN115" s="40" t="n"/>
      <c r="AO115" s="40" t="n"/>
      <c r="AP115" s="40" t="n"/>
      <c r="AQ115" s="40" t="n"/>
    </row>
    <row r="116">
      <c r="A116" s="40" t="inlineStr">
        <is>
          <t>ORI113</t>
        </is>
      </c>
      <c r="B116" s="46" t="n"/>
      <c r="C116" s="40" t="n"/>
      <c r="D116" s="40" t="n"/>
      <c r="E116" s="40" t="n"/>
      <c r="F116" s="44" t="n"/>
      <c r="G116" s="40" t="n"/>
      <c r="H116" s="40" t="n"/>
      <c r="I116" s="44">
        <f>IFERROR(EDATE(F116,H116),"")</f>
        <v/>
      </c>
      <c r="J116" s="47" t="n"/>
      <c r="K116" s="40" t="n"/>
      <c r="L116" s="40" t="n"/>
      <c r="M116" s="40" t="n"/>
      <c r="N116" s="40" t="n"/>
      <c r="O116" s="40">
        <f>IF($B116="","",IFERROR(INDEX('CHUYÊN CẦN'!$C$3:$N$202,MATCH($A116,'CHUYÊN CẦN'!$A$3:$A$202,0),MONTH(TODAY())),0))</f>
        <v/>
      </c>
      <c r="P116" s="44">
        <f>IF($B116="","",IF(SUMPRODUCT(MAX(('NHẬT KÝ CSKH'!$B$3:$B$1000=$A116)*'NHẬT KÝ CSKH'!$A$3:$A$1000))=0,"",SUMPRODUCT(MAX(('NHẬT KÝ CSKH'!$B$3:$B$1000=$A116)*'NHẬT KÝ CSKH'!$A$3:$A$1000))))</f>
        <v/>
      </c>
      <c r="Q116" s="40">
        <f>IF($B116="","",IF($I116="","",$I116-TODAY()))</f>
        <v/>
      </c>
      <c r="R116" s="40">
        <f>IF($B116="","",IF($O116&gt;=3,2,0)+IF($K116="Còn nợ",2,0)+IF(AND($N116="Đang học",$Q116&lt;&gt;"",$Q116&gt;=0,$Q116&lt;=30),1,0)+IF($P116="",1,IF(TODAY()-$P116&gt;60,1,0)))</f>
        <v/>
      </c>
      <c r="S116" s="40">
        <f>IF($B116="","",IF($R116&gt;=3,"CAO",IF($R116&gt;=1,"TRUNG BÌNH","THẤP")))</f>
        <v/>
      </c>
      <c r="T116" s="40" t="n"/>
      <c r="U116" s="40" t="n"/>
      <c r="V116" s="40" t="n"/>
      <c r="W116" s="40" t="n"/>
      <c r="X116" s="40" t="n"/>
      <c r="Y116" s="40" t="n"/>
      <c r="Z116" s="40" t="n"/>
      <c r="AA116" s="40" t="n"/>
      <c r="AB116" s="40" t="n"/>
      <c r="AC116" s="40" t="n"/>
      <c r="AD116" s="40" t="n"/>
      <c r="AE116" s="40" t="n"/>
      <c r="AF116" s="40" t="n"/>
      <c r="AG116" s="40" t="n"/>
      <c r="AH116" s="40" t="n"/>
      <c r="AI116" s="40" t="n"/>
      <c r="AJ116" s="40" t="n"/>
      <c r="AK116" s="40" t="n"/>
      <c r="AL116" s="40" t="n"/>
      <c r="AM116" s="40" t="n"/>
      <c r="AN116" s="40" t="n"/>
      <c r="AO116" s="40" t="n"/>
      <c r="AP116" s="40" t="n"/>
      <c r="AQ116" s="40" t="n"/>
    </row>
    <row r="117">
      <c r="A117" s="40" t="inlineStr">
        <is>
          <t>ORI114</t>
        </is>
      </c>
      <c r="B117" s="46" t="n"/>
      <c r="C117" s="40" t="n"/>
      <c r="D117" s="40" t="n"/>
      <c r="E117" s="40" t="n"/>
      <c r="F117" s="44" t="n"/>
      <c r="G117" s="40" t="n"/>
      <c r="H117" s="40" t="n"/>
      <c r="I117" s="44">
        <f>IFERROR(EDATE(F117,H117),"")</f>
        <v/>
      </c>
      <c r="J117" s="47" t="n"/>
      <c r="K117" s="40" t="n"/>
      <c r="L117" s="40" t="n"/>
      <c r="M117" s="40" t="n"/>
      <c r="N117" s="40" t="n"/>
      <c r="O117" s="40">
        <f>IF($B117="","",IFERROR(INDEX('CHUYÊN CẦN'!$C$3:$N$202,MATCH($A117,'CHUYÊN CẦN'!$A$3:$A$202,0),MONTH(TODAY())),0))</f>
        <v/>
      </c>
      <c r="P117" s="44">
        <f>IF($B117="","",IF(SUMPRODUCT(MAX(('NHẬT KÝ CSKH'!$B$3:$B$1000=$A117)*'NHẬT KÝ CSKH'!$A$3:$A$1000))=0,"",SUMPRODUCT(MAX(('NHẬT KÝ CSKH'!$B$3:$B$1000=$A117)*'NHẬT KÝ CSKH'!$A$3:$A$1000))))</f>
        <v/>
      </c>
      <c r="Q117" s="40">
        <f>IF($B117="","",IF($I117="","",$I117-TODAY()))</f>
        <v/>
      </c>
      <c r="R117" s="40">
        <f>IF($B117="","",IF($O117&gt;=3,2,0)+IF($K117="Còn nợ",2,0)+IF(AND($N117="Đang học",$Q117&lt;&gt;"",$Q117&gt;=0,$Q117&lt;=30),1,0)+IF($P117="",1,IF(TODAY()-$P117&gt;60,1,0)))</f>
        <v/>
      </c>
      <c r="S117" s="40">
        <f>IF($B117="","",IF($R117&gt;=3,"CAO",IF($R117&gt;=1,"TRUNG BÌNH","THẤP")))</f>
        <v/>
      </c>
      <c r="T117" s="40" t="n"/>
      <c r="U117" s="40" t="n"/>
      <c r="V117" s="40" t="n"/>
      <c r="W117" s="40" t="n"/>
      <c r="X117" s="40" t="n"/>
      <c r="Y117" s="40" t="n"/>
      <c r="Z117" s="40" t="n"/>
      <c r="AA117" s="40" t="n"/>
      <c r="AB117" s="40" t="n"/>
      <c r="AC117" s="40" t="n"/>
      <c r="AD117" s="40" t="n"/>
      <c r="AE117" s="40" t="n"/>
      <c r="AF117" s="40" t="n"/>
      <c r="AG117" s="40" t="n"/>
      <c r="AH117" s="40" t="n"/>
      <c r="AI117" s="40" t="n"/>
      <c r="AJ117" s="40" t="n"/>
      <c r="AK117" s="40" t="n"/>
      <c r="AL117" s="40" t="n"/>
      <c r="AM117" s="40" t="n"/>
      <c r="AN117" s="40" t="n"/>
      <c r="AO117" s="40" t="n"/>
      <c r="AP117" s="40" t="n"/>
      <c r="AQ117" s="40" t="n"/>
    </row>
    <row r="118">
      <c r="A118" s="40" t="inlineStr">
        <is>
          <t>ORI115</t>
        </is>
      </c>
      <c r="B118" s="46" t="n"/>
      <c r="C118" s="40" t="n"/>
      <c r="D118" s="40" t="n"/>
      <c r="E118" s="40" t="n"/>
      <c r="F118" s="44" t="n"/>
      <c r="G118" s="40" t="n"/>
      <c r="H118" s="40" t="n"/>
      <c r="I118" s="44">
        <f>IFERROR(EDATE(F118,H118),"")</f>
        <v/>
      </c>
      <c r="J118" s="47" t="n"/>
      <c r="K118" s="40" t="n"/>
      <c r="L118" s="40" t="n"/>
      <c r="M118" s="40" t="n"/>
      <c r="N118" s="40" t="n"/>
      <c r="O118" s="40">
        <f>IF($B118="","",IFERROR(INDEX('CHUYÊN CẦN'!$C$3:$N$202,MATCH($A118,'CHUYÊN CẦN'!$A$3:$A$202,0),MONTH(TODAY())),0))</f>
        <v/>
      </c>
      <c r="P118" s="44">
        <f>IF($B118="","",IF(SUMPRODUCT(MAX(('NHẬT KÝ CSKH'!$B$3:$B$1000=$A118)*'NHẬT KÝ CSKH'!$A$3:$A$1000))=0,"",SUMPRODUCT(MAX(('NHẬT KÝ CSKH'!$B$3:$B$1000=$A118)*'NHẬT KÝ CSKH'!$A$3:$A$1000))))</f>
        <v/>
      </c>
      <c r="Q118" s="40">
        <f>IF($B118="","",IF($I118="","",$I118-TODAY()))</f>
        <v/>
      </c>
      <c r="R118" s="40">
        <f>IF($B118="","",IF($O118&gt;=3,2,0)+IF($K118="Còn nợ",2,0)+IF(AND($N118="Đang học",$Q118&lt;&gt;"",$Q118&gt;=0,$Q118&lt;=30),1,0)+IF($P118="",1,IF(TODAY()-$P118&gt;60,1,0)))</f>
        <v/>
      </c>
      <c r="S118" s="40">
        <f>IF($B118="","",IF($R118&gt;=3,"CAO",IF($R118&gt;=1,"TRUNG BÌNH","THẤP")))</f>
        <v/>
      </c>
      <c r="T118" s="40" t="n"/>
      <c r="U118" s="40" t="n"/>
      <c r="V118" s="40" t="n"/>
      <c r="W118" s="40" t="n"/>
      <c r="X118" s="40" t="n"/>
      <c r="Y118" s="40" t="n"/>
      <c r="Z118" s="40" t="n"/>
      <c r="AA118" s="40" t="n"/>
      <c r="AB118" s="40" t="n"/>
      <c r="AC118" s="40" t="n"/>
      <c r="AD118" s="40" t="n"/>
      <c r="AE118" s="40" t="n"/>
      <c r="AF118" s="40" t="n"/>
      <c r="AG118" s="40" t="n"/>
      <c r="AH118" s="40" t="n"/>
      <c r="AI118" s="40" t="n"/>
      <c r="AJ118" s="40" t="n"/>
      <c r="AK118" s="40" t="n"/>
      <c r="AL118" s="40" t="n"/>
      <c r="AM118" s="40" t="n"/>
      <c r="AN118" s="40" t="n"/>
      <c r="AO118" s="40" t="n"/>
      <c r="AP118" s="40" t="n"/>
      <c r="AQ118" s="40" t="n"/>
    </row>
    <row r="119">
      <c r="A119" s="40" t="inlineStr">
        <is>
          <t>ORI116</t>
        </is>
      </c>
      <c r="B119" s="46" t="n"/>
      <c r="C119" s="40" t="n"/>
      <c r="D119" s="40" t="n"/>
      <c r="E119" s="40" t="n"/>
      <c r="F119" s="44" t="n"/>
      <c r="G119" s="40" t="n"/>
      <c r="H119" s="40" t="n"/>
      <c r="I119" s="44">
        <f>IFERROR(EDATE(F119,H119),"")</f>
        <v/>
      </c>
      <c r="J119" s="47" t="n"/>
      <c r="K119" s="40" t="n"/>
      <c r="L119" s="40" t="n"/>
      <c r="M119" s="40" t="n"/>
      <c r="N119" s="40" t="n"/>
      <c r="O119" s="40">
        <f>IF($B119="","",IFERROR(INDEX('CHUYÊN CẦN'!$C$3:$N$202,MATCH($A119,'CHUYÊN CẦN'!$A$3:$A$202,0),MONTH(TODAY())),0))</f>
        <v/>
      </c>
      <c r="P119" s="44">
        <f>IF($B119="","",IF(SUMPRODUCT(MAX(('NHẬT KÝ CSKH'!$B$3:$B$1000=$A119)*'NHẬT KÝ CSKH'!$A$3:$A$1000))=0,"",SUMPRODUCT(MAX(('NHẬT KÝ CSKH'!$B$3:$B$1000=$A119)*'NHẬT KÝ CSKH'!$A$3:$A$1000))))</f>
        <v/>
      </c>
      <c r="Q119" s="40">
        <f>IF($B119="","",IF($I119="","",$I119-TODAY()))</f>
        <v/>
      </c>
      <c r="R119" s="40">
        <f>IF($B119="","",IF($O119&gt;=3,2,0)+IF($K119="Còn nợ",2,0)+IF(AND($N119="Đang học",$Q119&lt;&gt;"",$Q119&gt;=0,$Q119&lt;=30),1,0)+IF($P119="",1,IF(TODAY()-$P119&gt;60,1,0)))</f>
        <v/>
      </c>
      <c r="S119" s="40">
        <f>IF($B119="","",IF($R119&gt;=3,"CAO",IF($R119&gt;=1,"TRUNG BÌNH","THẤP")))</f>
        <v/>
      </c>
      <c r="T119" s="40" t="n"/>
      <c r="U119" s="40" t="n"/>
      <c r="V119" s="40" t="n"/>
      <c r="W119" s="40" t="n"/>
      <c r="X119" s="40" t="n"/>
      <c r="Y119" s="40" t="n"/>
      <c r="Z119" s="40" t="n"/>
      <c r="AA119" s="40" t="n"/>
      <c r="AB119" s="40" t="n"/>
      <c r="AC119" s="40" t="n"/>
      <c r="AD119" s="40" t="n"/>
      <c r="AE119" s="40" t="n"/>
      <c r="AF119" s="40" t="n"/>
      <c r="AG119" s="40" t="n"/>
      <c r="AH119" s="40" t="n"/>
      <c r="AI119" s="40" t="n"/>
      <c r="AJ119" s="40" t="n"/>
      <c r="AK119" s="40" t="n"/>
      <c r="AL119" s="40" t="n"/>
      <c r="AM119" s="40" t="n"/>
      <c r="AN119" s="40" t="n"/>
      <c r="AO119" s="40" t="n"/>
      <c r="AP119" s="40" t="n"/>
      <c r="AQ119" s="40" t="n"/>
    </row>
    <row r="120">
      <c r="A120" s="40" t="inlineStr">
        <is>
          <t>ORI117</t>
        </is>
      </c>
      <c r="B120" s="46" t="n"/>
      <c r="C120" s="40" t="n"/>
      <c r="D120" s="40" t="n"/>
      <c r="E120" s="40" t="n"/>
      <c r="F120" s="44" t="n"/>
      <c r="G120" s="40" t="n"/>
      <c r="H120" s="40" t="n"/>
      <c r="I120" s="44">
        <f>IFERROR(EDATE(F120,H120),"")</f>
        <v/>
      </c>
      <c r="J120" s="47" t="n"/>
      <c r="K120" s="40" t="n"/>
      <c r="L120" s="40" t="n"/>
      <c r="M120" s="40" t="n"/>
      <c r="N120" s="40" t="n"/>
      <c r="O120" s="40">
        <f>IF($B120="","",IFERROR(INDEX('CHUYÊN CẦN'!$C$3:$N$202,MATCH($A120,'CHUYÊN CẦN'!$A$3:$A$202,0),MONTH(TODAY())),0))</f>
        <v/>
      </c>
      <c r="P120" s="44">
        <f>IF($B120="","",IF(SUMPRODUCT(MAX(('NHẬT KÝ CSKH'!$B$3:$B$1000=$A120)*'NHẬT KÝ CSKH'!$A$3:$A$1000))=0,"",SUMPRODUCT(MAX(('NHẬT KÝ CSKH'!$B$3:$B$1000=$A120)*'NHẬT KÝ CSKH'!$A$3:$A$1000))))</f>
        <v/>
      </c>
      <c r="Q120" s="40">
        <f>IF($B120="","",IF($I120="","",$I120-TODAY()))</f>
        <v/>
      </c>
      <c r="R120" s="40">
        <f>IF($B120="","",IF($O120&gt;=3,2,0)+IF($K120="Còn nợ",2,0)+IF(AND($N120="Đang học",$Q120&lt;&gt;"",$Q120&gt;=0,$Q120&lt;=30),1,0)+IF($P120="",1,IF(TODAY()-$P120&gt;60,1,0)))</f>
        <v/>
      </c>
      <c r="S120" s="40">
        <f>IF($B120="","",IF($R120&gt;=3,"CAO",IF($R120&gt;=1,"TRUNG BÌNH","THẤP")))</f>
        <v/>
      </c>
      <c r="T120" s="40" t="n"/>
      <c r="U120" s="40" t="n"/>
      <c r="V120" s="40" t="n"/>
      <c r="W120" s="40" t="n"/>
      <c r="X120" s="40" t="n"/>
      <c r="Y120" s="40" t="n"/>
      <c r="Z120" s="40" t="n"/>
      <c r="AA120" s="40" t="n"/>
      <c r="AB120" s="40" t="n"/>
      <c r="AC120" s="40" t="n"/>
      <c r="AD120" s="40" t="n"/>
      <c r="AE120" s="40" t="n"/>
      <c r="AF120" s="40" t="n"/>
      <c r="AG120" s="40" t="n"/>
      <c r="AH120" s="40" t="n"/>
      <c r="AI120" s="40" t="n"/>
      <c r="AJ120" s="40" t="n"/>
      <c r="AK120" s="40" t="n"/>
      <c r="AL120" s="40" t="n"/>
      <c r="AM120" s="40" t="n"/>
      <c r="AN120" s="40" t="n"/>
      <c r="AO120" s="40" t="n"/>
      <c r="AP120" s="40" t="n"/>
      <c r="AQ120" s="40" t="n"/>
    </row>
    <row r="121">
      <c r="A121" s="40" t="inlineStr">
        <is>
          <t>ORI118</t>
        </is>
      </c>
      <c r="B121" s="46" t="n"/>
      <c r="C121" s="40" t="n"/>
      <c r="D121" s="40" t="n"/>
      <c r="E121" s="40" t="n"/>
      <c r="F121" s="44" t="n"/>
      <c r="G121" s="40" t="n"/>
      <c r="H121" s="40" t="n"/>
      <c r="I121" s="44">
        <f>IFERROR(EDATE(F121,H121),"")</f>
        <v/>
      </c>
      <c r="J121" s="47" t="n"/>
      <c r="K121" s="40" t="n"/>
      <c r="L121" s="40" t="n"/>
      <c r="M121" s="40" t="n"/>
      <c r="N121" s="40" t="n"/>
      <c r="O121" s="40">
        <f>IF($B121="","",IFERROR(INDEX('CHUYÊN CẦN'!$C$3:$N$202,MATCH($A121,'CHUYÊN CẦN'!$A$3:$A$202,0),MONTH(TODAY())),0))</f>
        <v/>
      </c>
      <c r="P121" s="44">
        <f>IF($B121="","",IF(SUMPRODUCT(MAX(('NHẬT KÝ CSKH'!$B$3:$B$1000=$A121)*'NHẬT KÝ CSKH'!$A$3:$A$1000))=0,"",SUMPRODUCT(MAX(('NHẬT KÝ CSKH'!$B$3:$B$1000=$A121)*'NHẬT KÝ CSKH'!$A$3:$A$1000))))</f>
        <v/>
      </c>
      <c r="Q121" s="40">
        <f>IF($B121="","",IF($I121="","",$I121-TODAY()))</f>
        <v/>
      </c>
      <c r="R121" s="40">
        <f>IF($B121="","",IF($O121&gt;=3,2,0)+IF($K121="Còn nợ",2,0)+IF(AND($N121="Đang học",$Q121&lt;&gt;"",$Q121&gt;=0,$Q121&lt;=30),1,0)+IF($P121="",1,IF(TODAY()-$P121&gt;60,1,0)))</f>
        <v/>
      </c>
      <c r="S121" s="40">
        <f>IF($B121="","",IF($R121&gt;=3,"CAO",IF($R121&gt;=1,"TRUNG BÌNH","THẤP")))</f>
        <v/>
      </c>
      <c r="T121" s="40" t="n"/>
      <c r="U121" s="40" t="n"/>
      <c r="V121" s="40" t="n"/>
      <c r="W121" s="40" t="n"/>
      <c r="X121" s="40" t="n"/>
      <c r="Y121" s="40" t="n"/>
      <c r="Z121" s="40" t="n"/>
      <c r="AA121" s="40" t="n"/>
      <c r="AB121" s="40" t="n"/>
      <c r="AC121" s="40" t="n"/>
      <c r="AD121" s="40" t="n"/>
      <c r="AE121" s="40" t="n"/>
      <c r="AF121" s="40" t="n"/>
      <c r="AG121" s="40" t="n"/>
      <c r="AH121" s="40" t="n"/>
      <c r="AI121" s="40" t="n"/>
      <c r="AJ121" s="40" t="n"/>
      <c r="AK121" s="40" t="n"/>
      <c r="AL121" s="40" t="n"/>
      <c r="AM121" s="40" t="n"/>
      <c r="AN121" s="40" t="n"/>
      <c r="AO121" s="40" t="n"/>
      <c r="AP121" s="40" t="n"/>
      <c r="AQ121" s="40" t="n"/>
    </row>
    <row r="122">
      <c r="A122" s="40" t="inlineStr">
        <is>
          <t>ORI119</t>
        </is>
      </c>
      <c r="B122" s="46" t="n"/>
      <c r="C122" s="40" t="n"/>
      <c r="D122" s="40" t="n"/>
      <c r="E122" s="40" t="n"/>
      <c r="F122" s="44" t="n"/>
      <c r="G122" s="40" t="n"/>
      <c r="H122" s="40" t="n"/>
      <c r="I122" s="44">
        <f>IFERROR(EDATE(F122,H122),"")</f>
        <v/>
      </c>
      <c r="J122" s="47" t="n"/>
      <c r="K122" s="40" t="n"/>
      <c r="L122" s="40" t="n"/>
      <c r="M122" s="40" t="n"/>
      <c r="N122" s="40" t="n"/>
      <c r="O122" s="40">
        <f>IF($B122="","",IFERROR(INDEX('CHUYÊN CẦN'!$C$3:$N$202,MATCH($A122,'CHUYÊN CẦN'!$A$3:$A$202,0),MONTH(TODAY())),0))</f>
        <v/>
      </c>
      <c r="P122" s="44">
        <f>IF($B122="","",IF(SUMPRODUCT(MAX(('NHẬT KÝ CSKH'!$B$3:$B$1000=$A122)*'NHẬT KÝ CSKH'!$A$3:$A$1000))=0,"",SUMPRODUCT(MAX(('NHẬT KÝ CSKH'!$B$3:$B$1000=$A122)*'NHẬT KÝ CSKH'!$A$3:$A$1000))))</f>
        <v/>
      </c>
      <c r="Q122" s="40">
        <f>IF($B122="","",IF($I122="","",$I122-TODAY()))</f>
        <v/>
      </c>
      <c r="R122" s="40">
        <f>IF($B122="","",IF($O122&gt;=3,2,0)+IF($K122="Còn nợ",2,0)+IF(AND($N122="Đang học",$Q122&lt;&gt;"",$Q122&gt;=0,$Q122&lt;=30),1,0)+IF($P122="",1,IF(TODAY()-$P122&gt;60,1,0)))</f>
        <v/>
      </c>
      <c r="S122" s="40">
        <f>IF($B122="","",IF($R122&gt;=3,"CAO",IF($R122&gt;=1,"TRUNG BÌNH","THẤP")))</f>
        <v/>
      </c>
      <c r="T122" s="40" t="n"/>
      <c r="U122" s="40" t="n"/>
      <c r="V122" s="40" t="n"/>
      <c r="W122" s="40" t="n"/>
      <c r="X122" s="40" t="n"/>
      <c r="Y122" s="40" t="n"/>
      <c r="Z122" s="40" t="n"/>
      <c r="AA122" s="40" t="n"/>
      <c r="AB122" s="40" t="n"/>
      <c r="AC122" s="40" t="n"/>
      <c r="AD122" s="40" t="n"/>
      <c r="AE122" s="40" t="n"/>
      <c r="AF122" s="40" t="n"/>
      <c r="AG122" s="40" t="n"/>
      <c r="AH122" s="40" t="n"/>
      <c r="AI122" s="40" t="n"/>
      <c r="AJ122" s="40" t="n"/>
      <c r="AK122" s="40" t="n"/>
      <c r="AL122" s="40" t="n"/>
      <c r="AM122" s="40" t="n"/>
      <c r="AN122" s="40" t="n"/>
      <c r="AO122" s="40" t="n"/>
      <c r="AP122" s="40" t="n"/>
      <c r="AQ122" s="40" t="n"/>
    </row>
    <row r="123">
      <c r="A123" s="40" t="inlineStr">
        <is>
          <t>ORI120</t>
        </is>
      </c>
      <c r="B123" s="46" t="n"/>
      <c r="C123" s="40" t="n"/>
      <c r="D123" s="40" t="n"/>
      <c r="E123" s="40" t="n"/>
      <c r="F123" s="44" t="n"/>
      <c r="G123" s="40" t="n"/>
      <c r="H123" s="40" t="n"/>
      <c r="I123" s="44">
        <f>IFERROR(EDATE(F123,H123),"")</f>
        <v/>
      </c>
      <c r="J123" s="47" t="n"/>
      <c r="K123" s="40" t="n"/>
      <c r="L123" s="40" t="n"/>
      <c r="M123" s="40" t="n"/>
      <c r="N123" s="40" t="n"/>
      <c r="O123" s="40">
        <f>IF($B123="","",IFERROR(INDEX('CHUYÊN CẦN'!$C$3:$N$202,MATCH($A123,'CHUYÊN CẦN'!$A$3:$A$202,0),MONTH(TODAY())),0))</f>
        <v/>
      </c>
      <c r="P123" s="44">
        <f>IF($B123="","",IF(SUMPRODUCT(MAX(('NHẬT KÝ CSKH'!$B$3:$B$1000=$A123)*'NHẬT KÝ CSKH'!$A$3:$A$1000))=0,"",SUMPRODUCT(MAX(('NHẬT KÝ CSKH'!$B$3:$B$1000=$A123)*'NHẬT KÝ CSKH'!$A$3:$A$1000))))</f>
        <v/>
      </c>
      <c r="Q123" s="40">
        <f>IF($B123="","",IF($I123="","",$I123-TODAY()))</f>
        <v/>
      </c>
      <c r="R123" s="40">
        <f>IF($B123="","",IF($O123&gt;=3,2,0)+IF($K123="Còn nợ",2,0)+IF(AND($N123="Đang học",$Q123&lt;&gt;"",$Q123&gt;=0,$Q123&lt;=30),1,0)+IF($P123="",1,IF(TODAY()-$P123&gt;60,1,0)))</f>
        <v/>
      </c>
      <c r="S123" s="40">
        <f>IF($B123="","",IF($R123&gt;=3,"CAO",IF($R123&gt;=1,"TRUNG BÌNH","THẤP")))</f>
        <v/>
      </c>
      <c r="T123" s="40" t="n"/>
      <c r="U123" s="40" t="n"/>
      <c r="V123" s="40" t="n"/>
      <c r="W123" s="40" t="n"/>
      <c r="X123" s="40" t="n"/>
      <c r="Y123" s="40" t="n"/>
      <c r="Z123" s="40" t="n"/>
      <c r="AA123" s="40" t="n"/>
      <c r="AB123" s="40" t="n"/>
      <c r="AC123" s="40" t="n"/>
      <c r="AD123" s="40" t="n"/>
      <c r="AE123" s="40" t="n"/>
      <c r="AF123" s="40" t="n"/>
      <c r="AG123" s="40" t="n"/>
      <c r="AH123" s="40" t="n"/>
      <c r="AI123" s="40" t="n"/>
      <c r="AJ123" s="40" t="n"/>
      <c r="AK123" s="40" t="n"/>
      <c r="AL123" s="40" t="n"/>
      <c r="AM123" s="40" t="n"/>
      <c r="AN123" s="40" t="n"/>
      <c r="AO123" s="40" t="n"/>
      <c r="AP123" s="40" t="n"/>
      <c r="AQ123" s="40" t="n"/>
    </row>
    <row r="124">
      <c r="A124" s="40" t="inlineStr">
        <is>
          <t>ORI121</t>
        </is>
      </c>
      <c r="B124" s="46" t="n"/>
      <c r="C124" s="40" t="n"/>
      <c r="D124" s="40" t="n"/>
      <c r="E124" s="40" t="n"/>
      <c r="F124" s="44" t="n"/>
      <c r="G124" s="40" t="n"/>
      <c r="H124" s="40" t="n"/>
      <c r="I124" s="44">
        <f>IFERROR(EDATE(F124,H124),"")</f>
        <v/>
      </c>
      <c r="J124" s="47" t="n"/>
      <c r="K124" s="40" t="n"/>
      <c r="L124" s="40" t="n"/>
      <c r="M124" s="40" t="n"/>
      <c r="N124" s="40" t="n"/>
      <c r="O124" s="40">
        <f>IF($B124="","",IFERROR(INDEX('CHUYÊN CẦN'!$C$3:$N$202,MATCH($A124,'CHUYÊN CẦN'!$A$3:$A$202,0),MONTH(TODAY())),0))</f>
        <v/>
      </c>
      <c r="P124" s="44">
        <f>IF($B124="","",IF(SUMPRODUCT(MAX(('NHẬT KÝ CSKH'!$B$3:$B$1000=$A124)*'NHẬT KÝ CSKH'!$A$3:$A$1000))=0,"",SUMPRODUCT(MAX(('NHẬT KÝ CSKH'!$B$3:$B$1000=$A124)*'NHẬT KÝ CSKH'!$A$3:$A$1000))))</f>
        <v/>
      </c>
      <c r="Q124" s="40">
        <f>IF($B124="","",IF($I124="","",$I124-TODAY()))</f>
        <v/>
      </c>
      <c r="R124" s="40">
        <f>IF($B124="","",IF($O124&gt;=3,2,0)+IF($K124="Còn nợ",2,0)+IF(AND($N124="Đang học",$Q124&lt;&gt;"",$Q124&gt;=0,$Q124&lt;=30),1,0)+IF($P124="",1,IF(TODAY()-$P124&gt;60,1,0)))</f>
        <v/>
      </c>
      <c r="S124" s="40">
        <f>IF($B124="","",IF($R124&gt;=3,"CAO",IF($R124&gt;=1,"TRUNG BÌNH","THẤP")))</f>
        <v/>
      </c>
      <c r="T124" s="40" t="n"/>
      <c r="U124" s="40" t="n"/>
      <c r="V124" s="40" t="n"/>
      <c r="W124" s="40" t="n"/>
      <c r="X124" s="40" t="n"/>
      <c r="Y124" s="40" t="n"/>
      <c r="Z124" s="40" t="n"/>
      <c r="AA124" s="40" t="n"/>
      <c r="AB124" s="40" t="n"/>
      <c r="AC124" s="40" t="n"/>
      <c r="AD124" s="40" t="n"/>
      <c r="AE124" s="40" t="n"/>
      <c r="AF124" s="40" t="n"/>
      <c r="AG124" s="40" t="n"/>
      <c r="AH124" s="40" t="n"/>
      <c r="AI124" s="40" t="n"/>
      <c r="AJ124" s="40" t="n"/>
      <c r="AK124" s="40" t="n"/>
      <c r="AL124" s="40" t="n"/>
      <c r="AM124" s="40" t="n"/>
      <c r="AN124" s="40" t="n"/>
      <c r="AO124" s="40" t="n"/>
      <c r="AP124" s="40" t="n"/>
      <c r="AQ124" s="40" t="n"/>
    </row>
    <row r="125">
      <c r="A125" s="40" t="inlineStr">
        <is>
          <t>ORI122</t>
        </is>
      </c>
      <c r="B125" s="46" t="n"/>
      <c r="C125" s="40" t="n"/>
      <c r="D125" s="40" t="n"/>
      <c r="E125" s="40" t="n"/>
      <c r="F125" s="44" t="n"/>
      <c r="G125" s="40" t="n"/>
      <c r="H125" s="40" t="n"/>
      <c r="I125" s="44">
        <f>IFERROR(EDATE(F125,H125),"")</f>
        <v/>
      </c>
      <c r="J125" s="47" t="n"/>
      <c r="K125" s="40" t="n"/>
      <c r="L125" s="40" t="n"/>
      <c r="M125" s="40" t="n"/>
      <c r="N125" s="40" t="n"/>
      <c r="O125" s="40">
        <f>IF($B125="","",IFERROR(INDEX('CHUYÊN CẦN'!$C$3:$N$202,MATCH($A125,'CHUYÊN CẦN'!$A$3:$A$202,0),MONTH(TODAY())),0))</f>
        <v/>
      </c>
      <c r="P125" s="44">
        <f>IF($B125="","",IF(SUMPRODUCT(MAX(('NHẬT KÝ CSKH'!$B$3:$B$1000=$A125)*'NHẬT KÝ CSKH'!$A$3:$A$1000))=0,"",SUMPRODUCT(MAX(('NHẬT KÝ CSKH'!$B$3:$B$1000=$A125)*'NHẬT KÝ CSKH'!$A$3:$A$1000))))</f>
        <v/>
      </c>
      <c r="Q125" s="40">
        <f>IF($B125="","",IF($I125="","",$I125-TODAY()))</f>
        <v/>
      </c>
      <c r="R125" s="40">
        <f>IF($B125="","",IF($O125&gt;=3,2,0)+IF($K125="Còn nợ",2,0)+IF(AND($N125="Đang học",$Q125&lt;&gt;"",$Q125&gt;=0,$Q125&lt;=30),1,0)+IF($P125="",1,IF(TODAY()-$P125&gt;60,1,0)))</f>
        <v/>
      </c>
      <c r="S125" s="40">
        <f>IF($B125="","",IF($R125&gt;=3,"CAO",IF($R125&gt;=1,"TRUNG BÌNH","THẤP")))</f>
        <v/>
      </c>
      <c r="T125" s="40" t="n"/>
      <c r="U125" s="40" t="n"/>
      <c r="V125" s="40" t="n"/>
      <c r="W125" s="40" t="n"/>
      <c r="X125" s="40" t="n"/>
      <c r="Y125" s="40" t="n"/>
      <c r="Z125" s="40" t="n"/>
      <c r="AA125" s="40" t="n"/>
      <c r="AB125" s="40" t="n"/>
      <c r="AC125" s="40" t="n"/>
      <c r="AD125" s="40" t="n"/>
      <c r="AE125" s="40" t="n"/>
      <c r="AF125" s="40" t="n"/>
      <c r="AG125" s="40" t="n"/>
      <c r="AH125" s="40" t="n"/>
      <c r="AI125" s="40" t="n"/>
      <c r="AJ125" s="40" t="n"/>
      <c r="AK125" s="40" t="n"/>
      <c r="AL125" s="40" t="n"/>
      <c r="AM125" s="40" t="n"/>
      <c r="AN125" s="40" t="n"/>
      <c r="AO125" s="40" t="n"/>
      <c r="AP125" s="40" t="n"/>
      <c r="AQ125" s="40" t="n"/>
    </row>
    <row r="126">
      <c r="A126" s="40" t="inlineStr">
        <is>
          <t>ORI123</t>
        </is>
      </c>
      <c r="B126" s="46" t="n"/>
      <c r="C126" s="40" t="n"/>
      <c r="D126" s="40" t="n"/>
      <c r="E126" s="40" t="n"/>
      <c r="F126" s="44" t="n"/>
      <c r="G126" s="40" t="n"/>
      <c r="H126" s="40" t="n"/>
      <c r="I126" s="44">
        <f>IFERROR(EDATE(F126,H126),"")</f>
        <v/>
      </c>
      <c r="J126" s="47" t="n"/>
      <c r="K126" s="40" t="n"/>
      <c r="L126" s="40" t="n"/>
      <c r="M126" s="40" t="n"/>
      <c r="N126" s="40" t="n"/>
      <c r="O126" s="40">
        <f>IF($B126="","",IFERROR(INDEX('CHUYÊN CẦN'!$C$3:$N$202,MATCH($A126,'CHUYÊN CẦN'!$A$3:$A$202,0),MONTH(TODAY())),0))</f>
        <v/>
      </c>
      <c r="P126" s="44">
        <f>IF($B126="","",IF(SUMPRODUCT(MAX(('NHẬT KÝ CSKH'!$B$3:$B$1000=$A126)*'NHẬT KÝ CSKH'!$A$3:$A$1000))=0,"",SUMPRODUCT(MAX(('NHẬT KÝ CSKH'!$B$3:$B$1000=$A126)*'NHẬT KÝ CSKH'!$A$3:$A$1000))))</f>
        <v/>
      </c>
      <c r="Q126" s="40">
        <f>IF($B126="","",IF($I126="","",$I126-TODAY()))</f>
        <v/>
      </c>
      <c r="R126" s="40">
        <f>IF($B126="","",IF($O126&gt;=3,2,0)+IF($K126="Còn nợ",2,0)+IF(AND($N126="Đang học",$Q126&lt;&gt;"",$Q126&gt;=0,$Q126&lt;=30),1,0)+IF($P126="",1,IF(TODAY()-$P126&gt;60,1,0)))</f>
        <v/>
      </c>
      <c r="S126" s="40">
        <f>IF($B126="","",IF($R126&gt;=3,"CAO",IF($R126&gt;=1,"TRUNG BÌNH","THẤP")))</f>
        <v/>
      </c>
      <c r="T126" s="40" t="n"/>
      <c r="U126" s="40" t="n"/>
      <c r="V126" s="40" t="n"/>
      <c r="W126" s="40" t="n"/>
      <c r="X126" s="40" t="n"/>
      <c r="Y126" s="40" t="n"/>
      <c r="Z126" s="40" t="n"/>
      <c r="AA126" s="40" t="n"/>
      <c r="AB126" s="40" t="n"/>
      <c r="AC126" s="40" t="n"/>
      <c r="AD126" s="40" t="n"/>
      <c r="AE126" s="40" t="n"/>
      <c r="AF126" s="40" t="n"/>
      <c r="AG126" s="40" t="n"/>
      <c r="AH126" s="40" t="n"/>
      <c r="AI126" s="40" t="n"/>
      <c r="AJ126" s="40" t="n"/>
      <c r="AK126" s="40" t="n"/>
      <c r="AL126" s="40" t="n"/>
      <c r="AM126" s="40" t="n"/>
      <c r="AN126" s="40" t="n"/>
      <c r="AO126" s="40" t="n"/>
      <c r="AP126" s="40" t="n"/>
      <c r="AQ126" s="40" t="n"/>
    </row>
    <row r="127">
      <c r="A127" s="40" t="inlineStr">
        <is>
          <t>ORI124</t>
        </is>
      </c>
      <c r="B127" s="46" t="n"/>
      <c r="C127" s="40" t="n"/>
      <c r="D127" s="40" t="n"/>
      <c r="E127" s="40" t="n"/>
      <c r="F127" s="44" t="n"/>
      <c r="G127" s="40" t="n"/>
      <c r="H127" s="40" t="n"/>
      <c r="I127" s="44">
        <f>IFERROR(EDATE(F127,H127),"")</f>
        <v/>
      </c>
      <c r="J127" s="47" t="n"/>
      <c r="K127" s="40" t="n"/>
      <c r="L127" s="40" t="n"/>
      <c r="M127" s="40" t="n"/>
      <c r="N127" s="40" t="n"/>
      <c r="O127" s="40">
        <f>IF($B127="","",IFERROR(INDEX('CHUYÊN CẦN'!$C$3:$N$202,MATCH($A127,'CHUYÊN CẦN'!$A$3:$A$202,0),MONTH(TODAY())),0))</f>
        <v/>
      </c>
      <c r="P127" s="44">
        <f>IF($B127="","",IF(SUMPRODUCT(MAX(('NHẬT KÝ CSKH'!$B$3:$B$1000=$A127)*'NHẬT KÝ CSKH'!$A$3:$A$1000))=0,"",SUMPRODUCT(MAX(('NHẬT KÝ CSKH'!$B$3:$B$1000=$A127)*'NHẬT KÝ CSKH'!$A$3:$A$1000))))</f>
        <v/>
      </c>
      <c r="Q127" s="40">
        <f>IF($B127="","",IF($I127="","",$I127-TODAY()))</f>
        <v/>
      </c>
      <c r="R127" s="40">
        <f>IF($B127="","",IF($O127&gt;=3,2,0)+IF($K127="Còn nợ",2,0)+IF(AND($N127="Đang học",$Q127&lt;&gt;"",$Q127&gt;=0,$Q127&lt;=30),1,0)+IF($P127="",1,IF(TODAY()-$P127&gt;60,1,0)))</f>
        <v/>
      </c>
      <c r="S127" s="40">
        <f>IF($B127="","",IF($R127&gt;=3,"CAO",IF($R127&gt;=1,"TRUNG BÌNH","THẤP")))</f>
        <v/>
      </c>
      <c r="T127" s="40" t="n"/>
      <c r="U127" s="40" t="n"/>
      <c r="V127" s="40" t="n"/>
      <c r="W127" s="40" t="n"/>
      <c r="X127" s="40" t="n"/>
      <c r="Y127" s="40" t="n"/>
      <c r="Z127" s="40" t="n"/>
      <c r="AA127" s="40" t="n"/>
      <c r="AB127" s="40" t="n"/>
      <c r="AC127" s="40" t="n"/>
      <c r="AD127" s="40" t="n"/>
      <c r="AE127" s="40" t="n"/>
      <c r="AF127" s="40" t="n"/>
      <c r="AG127" s="40" t="n"/>
      <c r="AH127" s="40" t="n"/>
      <c r="AI127" s="40" t="n"/>
      <c r="AJ127" s="40" t="n"/>
      <c r="AK127" s="40" t="n"/>
      <c r="AL127" s="40" t="n"/>
      <c r="AM127" s="40" t="n"/>
      <c r="AN127" s="40" t="n"/>
      <c r="AO127" s="40" t="n"/>
      <c r="AP127" s="40" t="n"/>
      <c r="AQ127" s="40" t="n"/>
    </row>
    <row r="128">
      <c r="A128" s="40" t="inlineStr">
        <is>
          <t>ORI125</t>
        </is>
      </c>
      <c r="B128" s="46" t="n"/>
      <c r="C128" s="40" t="n"/>
      <c r="D128" s="40" t="n"/>
      <c r="E128" s="40" t="n"/>
      <c r="F128" s="44" t="n"/>
      <c r="G128" s="40" t="n"/>
      <c r="H128" s="40" t="n"/>
      <c r="I128" s="44">
        <f>IFERROR(EDATE(F128,H128),"")</f>
        <v/>
      </c>
      <c r="J128" s="47" t="n"/>
      <c r="K128" s="40" t="n"/>
      <c r="L128" s="40" t="n"/>
      <c r="M128" s="40" t="n"/>
      <c r="N128" s="40" t="n"/>
      <c r="O128" s="40">
        <f>IF($B128="","",IFERROR(INDEX('CHUYÊN CẦN'!$C$3:$N$202,MATCH($A128,'CHUYÊN CẦN'!$A$3:$A$202,0),MONTH(TODAY())),0))</f>
        <v/>
      </c>
      <c r="P128" s="44">
        <f>IF($B128="","",IF(SUMPRODUCT(MAX(('NHẬT KÝ CSKH'!$B$3:$B$1000=$A128)*'NHẬT KÝ CSKH'!$A$3:$A$1000))=0,"",SUMPRODUCT(MAX(('NHẬT KÝ CSKH'!$B$3:$B$1000=$A128)*'NHẬT KÝ CSKH'!$A$3:$A$1000))))</f>
        <v/>
      </c>
      <c r="Q128" s="40">
        <f>IF($B128="","",IF($I128="","",$I128-TODAY()))</f>
        <v/>
      </c>
      <c r="R128" s="40">
        <f>IF($B128="","",IF($O128&gt;=3,2,0)+IF($K128="Còn nợ",2,0)+IF(AND($N128="Đang học",$Q128&lt;&gt;"",$Q128&gt;=0,$Q128&lt;=30),1,0)+IF($P128="",1,IF(TODAY()-$P128&gt;60,1,0)))</f>
        <v/>
      </c>
      <c r="S128" s="40">
        <f>IF($B128="","",IF($R128&gt;=3,"CAO",IF($R128&gt;=1,"TRUNG BÌNH","THẤP")))</f>
        <v/>
      </c>
      <c r="T128" s="40" t="n"/>
      <c r="U128" s="40" t="n"/>
      <c r="V128" s="40" t="n"/>
      <c r="W128" s="40" t="n"/>
      <c r="X128" s="40" t="n"/>
      <c r="Y128" s="40" t="n"/>
      <c r="Z128" s="40" t="n"/>
      <c r="AA128" s="40" t="n"/>
      <c r="AB128" s="40" t="n"/>
      <c r="AC128" s="40" t="n"/>
      <c r="AD128" s="40" t="n"/>
      <c r="AE128" s="40" t="n"/>
      <c r="AF128" s="40" t="n"/>
      <c r="AG128" s="40" t="n"/>
      <c r="AH128" s="40" t="n"/>
      <c r="AI128" s="40" t="n"/>
      <c r="AJ128" s="40" t="n"/>
      <c r="AK128" s="40" t="n"/>
      <c r="AL128" s="40" t="n"/>
      <c r="AM128" s="40" t="n"/>
      <c r="AN128" s="40" t="n"/>
      <c r="AO128" s="40" t="n"/>
      <c r="AP128" s="40" t="n"/>
      <c r="AQ128" s="40" t="n"/>
    </row>
    <row r="129">
      <c r="A129" s="40" t="inlineStr">
        <is>
          <t>ORI126</t>
        </is>
      </c>
      <c r="B129" s="46" t="n"/>
      <c r="C129" s="40" t="n"/>
      <c r="D129" s="40" t="n"/>
      <c r="E129" s="40" t="n"/>
      <c r="F129" s="44" t="n"/>
      <c r="G129" s="40" t="n"/>
      <c r="H129" s="40" t="n"/>
      <c r="I129" s="44">
        <f>IFERROR(EDATE(F129,H129),"")</f>
        <v/>
      </c>
      <c r="J129" s="47" t="n"/>
      <c r="K129" s="40" t="n"/>
      <c r="L129" s="40" t="n"/>
      <c r="M129" s="40" t="n"/>
      <c r="N129" s="40" t="n"/>
      <c r="O129" s="40">
        <f>IF($B129="","",IFERROR(INDEX('CHUYÊN CẦN'!$C$3:$N$202,MATCH($A129,'CHUYÊN CẦN'!$A$3:$A$202,0),MONTH(TODAY())),0))</f>
        <v/>
      </c>
      <c r="P129" s="44">
        <f>IF($B129="","",IF(SUMPRODUCT(MAX(('NHẬT KÝ CSKH'!$B$3:$B$1000=$A129)*'NHẬT KÝ CSKH'!$A$3:$A$1000))=0,"",SUMPRODUCT(MAX(('NHẬT KÝ CSKH'!$B$3:$B$1000=$A129)*'NHẬT KÝ CSKH'!$A$3:$A$1000))))</f>
        <v/>
      </c>
      <c r="Q129" s="40">
        <f>IF($B129="","",IF($I129="","",$I129-TODAY()))</f>
        <v/>
      </c>
      <c r="R129" s="40">
        <f>IF($B129="","",IF($O129&gt;=3,2,0)+IF($K129="Còn nợ",2,0)+IF(AND($N129="Đang học",$Q129&lt;&gt;"",$Q129&gt;=0,$Q129&lt;=30),1,0)+IF($P129="",1,IF(TODAY()-$P129&gt;60,1,0)))</f>
        <v/>
      </c>
      <c r="S129" s="40">
        <f>IF($B129="","",IF($R129&gt;=3,"CAO",IF($R129&gt;=1,"TRUNG BÌNH","THẤP")))</f>
        <v/>
      </c>
      <c r="T129" s="40" t="n"/>
      <c r="U129" s="40" t="n"/>
      <c r="V129" s="40" t="n"/>
      <c r="W129" s="40" t="n"/>
      <c r="X129" s="40" t="n"/>
      <c r="Y129" s="40" t="n"/>
      <c r="Z129" s="40" t="n"/>
      <c r="AA129" s="40" t="n"/>
      <c r="AB129" s="40" t="n"/>
      <c r="AC129" s="40" t="n"/>
      <c r="AD129" s="40" t="n"/>
      <c r="AE129" s="40" t="n"/>
      <c r="AF129" s="40" t="n"/>
      <c r="AG129" s="40" t="n"/>
      <c r="AH129" s="40" t="n"/>
      <c r="AI129" s="40" t="n"/>
      <c r="AJ129" s="40" t="n"/>
      <c r="AK129" s="40" t="n"/>
      <c r="AL129" s="40" t="n"/>
      <c r="AM129" s="40" t="n"/>
      <c r="AN129" s="40" t="n"/>
      <c r="AO129" s="40" t="n"/>
      <c r="AP129" s="40" t="n"/>
      <c r="AQ129" s="40" t="n"/>
    </row>
    <row r="130">
      <c r="A130" s="40" t="inlineStr">
        <is>
          <t>ORI127</t>
        </is>
      </c>
      <c r="B130" s="46" t="n"/>
      <c r="C130" s="40" t="n"/>
      <c r="D130" s="40" t="n"/>
      <c r="E130" s="40" t="n"/>
      <c r="F130" s="44" t="n"/>
      <c r="G130" s="40" t="n"/>
      <c r="H130" s="40" t="n"/>
      <c r="I130" s="44">
        <f>IFERROR(EDATE(F130,H130),"")</f>
        <v/>
      </c>
      <c r="J130" s="47" t="n"/>
      <c r="K130" s="40" t="n"/>
      <c r="L130" s="40" t="n"/>
      <c r="M130" s="40" t="n"/>
      <c r="N130" s="40" t="n"/>
      <c r="O130" s="40">
        <f>IF($B130="","",IFERROR(INDEX('CHUYÊN CẦN'!$C$3:$N$202,MATCH($A130,'CHUYÊN CẦN'!$A$3:$A$202,0),MONTH(TODAY())),0))</f>
        <v/>
      </c>
      <c r="P130" s="44">
        <f>IF($B130="","",IF(SUMPRODUCT(MAX(('NHẬT KÝ CSKH'!$B$3:$B$1000=$A130)*'NHẬT KÝ CSKH'!$A$3:$A$1000))=0,"",SUMPRODUCT(MAX(('NHẬT KÝ CSKH'!$B$3:$B$1000=$A130)*'NHẬT KÝ CSKH'!$A$3:$A$1000))))</f>
        <v/>
      </c>
      <c r="Q130" s="40">
        <f>IF($B130="","",IF($I130="","",$I130-TODAY()))</f>
        <v/>
      </c>
      <c r="R130" s="40">
        <f>IF($B130="","",IF($O130&gt;=3,2,0)+IF($K130="Còn nợ",2,0)+IF(AND($N130="Đang học",$Q130&lt;&gt;"",$Q130&gt;=0,$Q130&lt;=30),1,0)+IF($P130="",1,IF(TODAY()-$P130&gt;60,1,0)))</f>
        <v/>
      </c>
      <c r="S130" s="40">
        <f>IF($B130="","",IF($R130&gt;=3,"CAO",IF($R130&gt;=1,"TRUNG BÌNH","THẤP")))</f>
        <v/>
      </c>
      <c r="T130" s="40" t="n"/>
      <c r="U130" s="40" t="n"/>
      <c r="V130" s="40" t="n"/>
      <c r="W130" s="40" t="n"/>
      <c r="X130" s="40" t="n"/>
      <c r="Y130" s="40" t="n"/>
      <c r="Z130" s="40" t="n"/>
      <c r="AA130" s="40" t="n"/>
      <c r="AB130" s="40" t="n"/>
      <c r="AC130" s="40" t="n"/>
      <c r="AD130" s="40" t="n"/>
      <c r="AE130" s="40" t="n"/>
      <c r="AF130" s="40" t="n"/>
      <c r="AG130" s="40" t="n"/>
      <c r="AH130" s="40" t="n"/>
      <c r="AI130" s="40" t="n"/>
      <c r="AJ130" s="40" t="n"/>
      <c r="AK130" s="40" t="n"/>
      <c r="AL130" s="40" t="n"/>
      <c r="AM130" s="40" t="n"/>
      <c r="AN130" s="40" t="n"/>
      <c r="AO130" s="40" t="n"/>
      <c r="AP130" s="40" t="n"/>
      <c r="AQ130" s="40" t="n"/>
    </row>
    <row r="131">
      <c r="A131" s="40" t="inlineStr">
        <is>
          <t>ORI128</t>
        </is>
      </c>
      <c r="B131" s="46" t="n"/>
      <c r="C131" s="40" t="n"/>
      <c r="D131" s="40" t="n"/>
      <c r="E131" s="40" t="n"/>
      <c r="F131" s="44" t="n"/>
      <c r="G131" s="40" t="n"/>
      <c r="H131" s="40" t="n"/>
      <c r="I131" s="44">
        <f>IFERROR(EDATE(F131,H131),"")</f>
        <v/>
      </c>
      <c r="J131" s="47" t="n"/>
      <c r="K131" s="40" t="n"/>
      <c r="L131" s="40" t="n"/>
      <c r="M131" s="40" t="n"/>
      <c r="N131" s="40" t="n"/>
      <c r="O131" s="40">
        <f>IF($B131="","",IFERROR(INDEX('CHUYÊN CẦN'!$C$3:$N$202,MATCH($A131,'CHUYÊN CẦN'!$A$3:$A$202,0),MONTH(TODAY())),0))</f>
        <v/>
      </c>
      <c r="P131" s="44">
        <f>IF($B131="","",IF(SUMPRODUCT(MAX(('NHẬT KÝ CSKH'!$B$3:$B$1000=$A131)*'NHẬT KÝ CSKH'!$A$3:$A$1000))=0,"",SUMPRODUCT(MAX(('NHẬT KÝ CSKH'!$B$3:$B$1000=$A131)*'NHẬT KÝ CSKH'!$A$3:$A$1000))))</f>
        <v/>
      </c>
      <c r="Q131" s="40">
        <f>IF($B131="","",IF($I131="","",$I131-TODAY()))</f>
        <v/>
      </c>
      <c r="R131" s="40">
        <f>IF($B131="","",IF($O131&gt;=3,2,0)+IF($K131="Còn nợ",2,0)+IF(AND($N131="Đang học",$Q131&lt;&gt;"",$Q131&gt;=0,$Q131&lt;=30),1,0)+IF($P131="",1,IF(TODAY()-$P131&gt;60,1,0)))</f>
        <v/>
      </c>
      <c r="S131" s="40">
        <f>IF($B131="","",IF($R131&gt;=3,"CAO",IF($R131&gt;=1,"TRUNG BÌNH","THẤP")))</f>
        <v/>
      </c>
      <c r="T131" s="40" t="n"/>
      <c r="U131" s="40" t="n"/>
      <c r="V131" s="40" t="n"/>
      <c r="W131" s="40" t="n"/>
      <c r="X131" s="40" t="n"/>
      <c r="Y131" s="40" t="n"/>
      <c r="Z131" s="40" t="n"/>
      <c r="AA131" s="40" t="n"/>
      <c r="AB131" s="40" t="n"/>
      <c r="AC131" s="40" t="n"/>
      <c r="AD131" s="40" t="n"/>
      <c r="AE131" s="40" t="n"/>
      <c r="AF131" s="40" t="n"/>
      <c r="AG131" s="40" t="n"/>
      <c r="AH131" s="40" t="n"/>
      <c r="AI131" s="40" t="n"/>
      <c r="AJ131" s="40" t="n"/>
      <c r="AK131" s="40" t="n"/>
      <c r="AL131" s="40" t="n"/>
      <c r="AM131" s="40" t="n"/>
      <c r="AN131" s="40" t="n"/>
      <c r="AO131" s="40" t="n"/>
      <c r="AP131" s="40" t="n"/>
      <c r="AQ131" s="40" t="n"/>
    </row>
    <row r="132">
      <c r="A132" s="40" t="inlineStr">
        <is>
          <t>ORI129</t>
        </is>
      </c>
      <c r="B132" s="46" t="n"/>
      <c r="C132" s="40" t="n"/>
      <c r="D132" s="40" t="n"/>
      <c r="E132" s="40" t="n"/>
      <c r="F132" s="44" t="n"/>
      <c r="G132" s="40" t="n"/>
      <c r="H132" s="40" t="n"/>
      <c r="I132" s="44">
        <f>IFERROR(EDATE(F132,H132),"")</f>
        <v/>
      </c>
      <c r="J132" s="47" t="n"/>
      <c r="K132" s="40" t="n"/>
      <c r="L132" s="40" t="n"/>
      <c r="M132" s="40" t="n"/>
      <c r="N132" s="40" t="n"/>
      <c r="O132" s="40">
        <f>IF($B132="","",IFERROR(INDEX('CHUYÊN CẦN'!$C$3:$N$202,MATCH($A132,'CHUYÊN CẦN'!$A$3:$A$202,0),MONTH(TODAY())),0))</f>
        <v/>
      </c>
      <c r="P132" s="44">
        <f>IF($B132="","",IF(SUMPRODUCT(MAX(('NHẬT KÝ CSKH'!$B$3:$B$1000=$A132)*'NHẬT KÝ CSKH'!$A$3:$A$1000))=0,"",SUMPRODUCT(MAX(('NHẬT KÝ CSKH'!$B$3:$B$1000=$A132)*'NHẬT KÝ CSKH'!$A$3:$A$1000))))</f>
        <v/>
      </c>
      <c r="Q132" s="40">
        <f>IF($B132="","",IF($I132="","",$I132-TODAY()))</f>
        <v/>
      </c>
      <c r="R132" s="40">
        <f>IF($B132="","",IF($O132&gt;=3,2,0)+IF($K132="Còn nợ",2,0)+IF(AND($N132="Đang học",$Q132&lt;&gt;"",$Q132&gt;=0,$Q132&lt;=30),1,0)+IF($P132="",1,IF(TODAY()-$P132&gt;60,1,0)))</f>
        <v/>
      </c>
      <c r="S132" s="40">
        <f>IF($B132="","",IF($R132&gt;=3,"CAO",IF($R132&gt;=1,"TRUNG BÌNH","THẤP")))</f>
        <v/>
      </c>
      <c r="T132" s="40" t="n"/>
      <c r="U132" s="40" t="n"/>
      <c r="V132" s="40" t="n"/>
      <c r="W132" s="40" t="n"/>
      <c r="X132" s="40" t="n"/>
      <c r="Y132" s="40" t="n"/>
      <c r="Z132" s="40" t="n"/>
      <c r="AA132" s="40" t="n"/>
      <c r="AB132" s="40" t="n"/>
      <c r="AC132" s="40" t="n"/>
      <c r="AD132" s="40" t="n"/>
      <c r="AE132" s="40" t="n"/>
      <c r="AF132" s="40" t="n"/>
      <c r="AG132" s="40" t="n"/>
      <c r="AH132" s="40" t="n"/>
      <c r="AI132" s="40" t="n"/>
      <c r="AJ132" s="40" t="n"/>
      <c r="AK132" s="40" t="n"/>
      <c r="AL132" s="40" t="n"/>
      <c r="AM132" s="40" t="n"/>
      <c r="AN132" s="40" t="n"/>
      <c r="AO132" s="40" t="n"/>
      <c r="AP132" s="40" t="n"/>
      <c r="AQ132" s="40" t="n"/>
    </row>
    <row r="133">
      <c r="A133" s="40" t="inlineStr">
        <is>
          <t>ORI130</t>
        </is>
      </c>
      <c r="B133" s="46" t="n"/>
      <c r="C133" s="40" t="n"/>
      <c r="D133" s="40" t="n"/>
      <c r="E133" s="40" t="n"/>
      <c r="F133" s="44" t="n"/>
      <c r="G133" s="40" t="n"/>
      <c r="H133" s="40" t="n"/>
      <c r="I133" s="44">
        <f>IFERROR(EDATE(F133,H133),"")</f>
        <v/>
      </c>
      <c r="J133" s="47" t="n"/>
      <c r="K133" s="40" t="n"/>
      <c r="L133" s="40" t="n"/>
      <c r="M133" s="40" t="n"/>
      <c r="N133" s="40" t="n"/>
      <c r="O133" s="40">
        <f>IF($B133="","",IFERROR(INDEX('CHUYÊN CẦN'!$C$3:$N$202,MATCH($A133,'CHUYÊN CẦN'!$A$3:$A$202,0),MONTH(TODAY())),0))</f>
        <v/>
      </c>
      <c r="P133" s="44">
        <f>IF($B133="","",IF(SUMPRODUCT(MAX(('NHẬT KÝ CSKH'!$B$3:$B$1000=$A133)*'NHẬT KÝ CSKH'!$A$3:$A$1000))=0,"",SUMPRODUCT(MAX(('NHẬT KÝ CSKH'!$B$3:$B$1000=$A133)*'NHẬT KÝ CSKH'!$A$3:$A$1000))))</f>
        <v/>
      </c>
      <c r="Q133" s="40">
        <f>IF($B133="","",IF($I133="","",$I133-TODAY()))</f>
        <v/>
      </c>
      <c r="R133" s="40">
        <f>IF($B133="","",IF($O133&gt;=3,2,0)+IF($K133="Còn nợ",2,0)+IF(AND($N133="Đang học",$Q133&lt;&gt;"",$Q133&gt;=0,$Q133&lt;=30),1,0)+IF($P133="",1,IF(TODAY()-$P133&gt;60,1,0)))</f>
        <v/>
      </c>
      <c r="S133" s="40">
        <f>IF($B133="","",IF($R133&gt;=3,"CAO",IF($R133&gt;=1,"TRUNG BÌNH","THẤP")))</f>
        <v/>
      </c>
      <c r="T133" s="40" t="n"/>
      <c r="U133" s="40" t="n"/>
      <c r="V133" s="40" t="n"/>
      <c r="W133" s="40" t="n"/>
      <c r="X133" s="40" t="n"/>
      <c r="Y133" s="40" t="n"/>
      <c r="Z133" s="40" t="n"/>
      <c r="AA133" s="40" t="n"/>
      <c r="AB133" s="40" t="n"/>
      <c r="AC133" s="40" t="n"/>
      <c r="AD133" s="40" t="n"/>
      <c r="AE133" s="40" t="n"/>
      <c r="AF133" s="40" t="n"/>
      <c r="AG133" s="40" t="n"/>
      <c r="AH133" s="40" t="n"/>
      <c r="AI133" s="40" t="n"/>
      <c r="AJ133" s="40" t="n"/>
      <c r="AK133" s="40" t="n"/>
      <c r="AL133" s="40" t="n"/>
      <c r="AM133" s="40" t="n"/>
      <c r="AN133" s="40" t="n"/>
      <c r="AO133" s="40" t="n"/>
      <c r="AP133" s="40" t="n"/>
      <c r="AQ133" s="40" t="n"/>
    </row>
    <row r="134">
      <c r="A134" s="40" t="inlineStr">
        <is>
          <t>ORI131</t>
        </is>
      </c>
      <c r="B134" s="46" t="n"/>
      <c r="C134" s="40" t="n"/>
      <c r="D134" s="40" t="n"/>
      <c r="E134" s="40" t="n"/>
      <c r="F134" s="44" t="n"/>
      <c r="G134" s="40" t="n"/>
      <c r="H134" s="40" t="n"/>
      <c r="I134" s="44">
        <f>IFERROR(EDATE(F134,H134),"")</f>
        <v/>
      </c>
      <c r="J134" s="47" t="n"/>
      <c r="K134" s="40" t="n"/>
      <c r="L134" s="40" t="n"/>
      <c r="M134" s="40" t="n"/>
      <c r="N134" s="40" t="n"/>
      <c r="O134" s="40">
        <f>IF($B134="","",IFERROR(INDEX('CHUYÊN CẦN'!$C$3:$N$202,MATCH($A134,'CHUYÊN CẦN'!$A$3:$A$202,0),MONTH(TODAY())),0))</f>
        <v/>
      </c>
      <c r="P134" s="44">
        <f>IF($B134="","",IF(SUMPRODUCT(MAX(('NHẬT KÝ CSKH'!$B$3:$B$1000=$A134)*'NHẬT KÝ CSKH'!$A$3:$A$1000))=0,"",SUMPRODUCT(MAX(('NHẬT KÝ CSKH'!$B$3:$B$1000=$A134)*'NHẬT KÝ CSKH'!$A$3:$A$1000))))</f>
        <v/>
      </c>
      <c r="Q134" s="40">
        <f>IF($B134="","",IF($I134="","",$I134-TODAY()))</f>
        <v/>
      </c>
      <c r="R134" s="40">
        <f>IF($B134="","",IF($O134&gt;=3,2,0)+IF($K134="Còn nợ",2,0)+IF(AND($N134="Đang học",$Q134&lt;&gt;"",$Q134&gt;=0,$Q134&lt;=30),1,0)+IF($P134="",1,IF(TODAY()-$P134&gt;60,1,0)))</f>
        <v/>
      </c>
      <c r="S134" s="40">
        <f>IF($B134="","",IF($R134&gt;=3,"CAO",IF($R134&gt;=1,"TRUNG BÌNH","THẤP")))</f>
        <v/>
      </c>
      <c r="T134" s="40" t="n"/>
      <c r="U134" s="40" t="n"/>
      <c r="V134" s="40" t="n"/>
      <c r="W134" s="40" t="n"/>
      <c r="X134" s="40" t="n"/>
      <c r="Y134" s="40" t="n"/>
      <c r="Z134" s="40" t="n"/>
      <c r="AA134" s="40" t="n"/>
      <c r="AB134" s="40" t="n"/>
      <c r="AC134" s="40" t="n"/>
      <c r="AD134" s="40" t="n"/>
      <c r="AE134" s="40" t="n"/>
      <c r="AF134" s="40" t="n"/>
      <c r="AG134" s="40" t="n"/>
      <c r="AH134" s="40" t="n"/>
      <c r="AI134" s="40" t="n"/>
      <c r="AJ134" s="40" t="n"/>
      <c r="AK134" s="40" t="n"/>
      <c r="AL134" s="40" t="n"/>
      <c r="AM134" s="40" t="n"/>
      <c r="AN134" s="40" t="n"/>
      <c r="AO134" s="40" t="n"/>
      <c r="AP134" s="40" t="n"/>
      <c r="AQ134" s="40" t="n"/>
    </row>
    <row r="135">
      <c r="A135" s="40" t="inlineStr">
        <is>
          <t>ORI132</t>
        </is>
      </c>
      <c r="B135" s="46" t="n"/>
      <c r="C135" s="40" t="n"/>
      <c r="D135" s="40" t="n"/>
      <c r="E135" s="40" t="n"/>
      <c r="F135" s="44" t="n"/>
      <c r="G135" s="40" t="n"/>
      <c r="H135" s="40" t="n"/>
      <c r="I135" s="44">
        <f>IFERROR(EDATE(F135,H135),"")</f>
        <v/>
      </c>
      <c r="J135" s="47" t="n"/>
      <c r="K135" s="40" t="n"/>
      <c r="L135" s="40" t="n"/>
      <c r="M135" s="40" t="n"/>
      <c r="N135" s="40" t="n"/>
      <c r="O135" s="40">
        <f>IF($B135="","",IFERROR(INDEX('CHUYÊN CẦN'!$C$3:$N$202,MATCH($A135,'CHUYÊN CẦN'!$A$3:$A$202,0),MONTH(TODAY())),0))</f>
        <v/>
      </c>
      <c r="P135" s="44">
        <f>IF($B135="","",IF(SUMPRODUCT(MAX(('NHẬT KÝ CSKH'!$B$3:$B$1000=$A135)*'NHẬT KÝ CSKH'!$A$3:$A$1000))=0,"",SUMPRODUCT(MAX(('NHẬT KÝ CSKH'!$B$3:$B$1000=$A135)*'NHẬT KÝ CSKH'!$A$3:$A$1000))))</f>
        <v/>
      </c>
      <c r="Q135" s="40">
        <f>IF($B135="","",IF($I135="","",$I135-TODAY()))</f>
        <v/>
      </c>
      <c r="R135" s="40">
        <f>IF($B135="","",IF($O135&gt;=3,2,0)+IF($K135="Còn nợ",2,0)+IF(AND($N135="Đang học",$Q135&lt;&gt;"",$Q135&gt;=0,$Q135&lt;=30),1,0)+IF($P135="",1,IF(TODAY()-$P135&gt;60,1,0)))</f>
        <v/>
      </c>
      <c r="S135" s="40">
        <f>IF($B135="","",IF($R135&gt;=3,"CAO",IF($R135&gt;=1,"TRUNG BÌNH","THẤP")))</f>
        <v/>
      </c>
      <c r="T135" s="40" t="n"/>
      <c r="U135" s="40" t="n"/>
      <c r="V135" s="40" t="n"/>
      <c r="W135" s="40" t="n"/>
      <c r="X135" s="40" t="n"/>
      <c r="Y135" s="40" t="n"/>
      <c r="Z135" s="40" t="n"/>
      <c r="AA135" s="40" t="n"/>
      <c r="AB135" s="40" t="n"/>
      <c r="AC135" s="40" t="n"/>
      <c r="AD135" s="40" t="n"/>
      <c r="AE135" s="40" t="n"/>
      <c r="AF135" s="40" t="n"/>
      <c r="AG135" s="40" t="n"/>
      <c r="AH135" s="40" t="n"/>
      <c r="AI135" s="40" t="n"/>
      <c r="AJ135" s="40" t="n"/>
      <c r="AK135" s="40" t="n"/>
      <c r="AL135" s="40" t="n"/>
      <c r="AM135" s="40" t="n"/>
      <c r="AN135" s="40" t="n"/>
      <c r="AO135" s="40" t="n"/>
      <c r="AP135" s="40" t="n"/>
      <c r="AQ135" s="40" t="n"/>
    </row>
    <row r="136">
      <c r="A136" s="40" t="inlineStr">
        <is>
          <t>ORI133</t>
        </is>
      </c>
      <c r="B136" s="46" t="n"/>
      <c r="C136" s="40" t="n"/>
      <c r="D136" s="40" t="n"/>
      <c r="E136" s="40" t="n"/>
      <c r="F136" s="44" t="n"/>
      <c r="G136" s="40" t="n"/>
      <c r="H136" s="40" t="n"/>
      <c r="I136" s="44">
        <f>IFERROR(EDATE(F136,H136),"")</f>
        <v/>
      </c>
      <c r="J136" s="47" t="n"/>
      <c r="K136" s="40" t="n"/>
      <c r="L136" s="40" t="n"/>
      <c r="M136" s="40" t="n"/>
      <c r="N136" s="40" t="n"/>
      <c r="O136" s="40">
        <f>IF($B136="","",IFERROR(INDEX('CHUYÊN CẦN'!$C$3:$N$202,MATCH($A136,'CHUYÊN CẦN'!$A$3:$A$202,0),MONTH(TODAY())),0))</f>
        <v/>
      </c>
      <c r="P136" s="44">
        <f>IF($B136="","",IF(SUMPRODUCT(MAX(('NHẬT KÝ CSKH'!$B$3:$B$1000=$A136)*'NHẬT KÝ CSKH'!$A$3:$A$1000))=0,"",SUMPRODUCT(MAX(('NHẬT KÝ CSKH'!$B$3:$B$1000=$A136)*'NHẬT KÝ CSKH'!$A$3:$A$1000))))</f>
        <v/>
      </c>
      <c r="Q136" s="40">
        <f>IF($B136="","",IF($I136="","",$I136-TODAY()))</f>
        <v/>
      </c>
      <c r="R136" s="40">
        <f>IF($B136="","",IF($O136&gt;=3,2,0)+IF($K136="Còn nợ",2,0)+IF(AND($N136="Đang học",$Q136&lt;&gt;"",$Q136&gt;=0,$Q136&lt;=30),1,0)+IF($P136="",1,IF(TODAY()-$P136&gt;60,1,0)))</f>
        <v/>
      </c>
      <c r="S136" s="40">
        <f>IF($B136="","",IF($R136&gt;=3,"CAO",IF($R136&gt;=1,"TRUNG BÌNH","THẤP")))</f>
        <v/>
      </c>
      <c r="T136" s="40" t="n"/>
      <c r="U136" s="40" t="n"/>
      <c r="V136" s="40" t="n"/>
      <c r="W136" s="40" t="n"/>
      <c r="X136" s="40" t="n"/>
      <c r="Y136" s="40" t="n"/>
      <c r="Z136" s="40" t="n"/>
      <c r="AA136" s="40" t="n"/>
      <c r="AB136" s="40" t="n"/>
      <c r="AC136" s="40" t="n"/>
      <c r="AD136" s="40" t="n"/>
      <c r="AE136" s="40" t="n"/>
      <c r="AF136" s="40" t="n"/>
      <c r="AG136" s="40" t="n"/>
      <c r="AH136" s="40" t="n"/>
      <c r="AI136" s="40" t="n"/>
      <c r="AJ136" s="40" t="n"/>
      <c r="AK136" s="40" t="n"/>
      <c r="AL136" s="40" t="n"/>
      <c r="AM136" s="40" t="n"/>
      <c r="AN136" s="40" t="n"/>
      <c r="AO136" s="40" t="n"/>
      <c r="AP136" s="40" t="n"/>
      <c r="AQ136" s="40" t="n"/>
    </row>
    <row r="137">
      <c r="A137" s="40" t="inlineStr">
        <is>
          <t>ORI134</t>
        </is>
      </c>
      <c r="B137" s="46" t="n"/>
      <c r="C137" s="40" t="n"/>
      <c r="D137" s="40" t="n"/>
      <c r="E137" s="40" t="n"/>
      <c r="F137" s="44" t="n"/>
      <c r="G137" s="40" t="n"/>
      <c r="H137" s="40" t="n"/>
      <c r="I137" s="44">
        <f>IFERROR(EDATE(F137,H137),"")</f>
        <v/>
      </c>
      <c r="J137" s="47" t="n"/>
      <c r="K137" s="40" t="n"/>
      <c r="L137" s="40" t="n"/>
      <c r="M137" s="40" t="n"/>
      <c r="N137" s="40" t="n"/>
      <c r="O137" s="40">
        <f>IF($B137="","",IFERROR(INDEX('CHUYÊN CẦN'!$C$3:$N$202,MATCH($A137,'CHUYÊN CẦN'!$A$3:$A$202,0),MONTH(TODAY())),0))</f>
        <v/>
      </c>
      <c r="P137" s="44">
        <f>IF($B137="","",IF(SUMPRODUCT(MAX(('NHẬT KÝ CSKH'!$B$3:$B$1000=$A137)*'NHẬT KÝ CSKH'!$A$3:$A$1000))=0,"",SUMPRODUCT(MAX(('NHẬT KÝ CSKH'!$B$3:$B$1000=$A137)*'NHẬT KÝ CSKH'!$A$3:$A$1000))))</f>
        <v/>
      </c>
      <c r="Q137" s="40">
        <f>IF($B137="","",IF($I137="","",$I137-TODAY()))</f>
        <v/>
      </c>
      <c r="R137" s="40">
        <f>IF($B137="","",IF($O137&gt;=3,2,0)+IF($K137="Còn nợ",2,0)+IF(AND($N137="Đang học",$Q137&lt;&gt;"",$Q137&gt;=0,$Q137&lt;=30),1,0)+IF($P137="",1,IF(TODAY()-$P137&gt;60,1,0)))</f>
        <v/>
      </c>
      <c r="S137" s="40">
        <f>IF($B137="","",IF($R137&gt;=3,"CAO",IF($R137&gt;=1,"TRUNG BÌNH","THẤP")))</f>
        <v/>
      </c>
      <c r="T137" s="40" t="n"/>
      <c r="U137" s="40" t="n"/>
      <c r="V137" s="40" t="n"/>
      <c r="W137" s="40" t="n"/>
      <c r="X137" s="40" t="n"/>
      <c r="Y137" s="40" t="n"/>
      <c r="Z137" s="40" t="n"/>
      <c r="AA137" s="40" t="n"/>
      <c r="AB137" s="40" t="n"/>
      <c r="AC137" s="40" t="n"/>
      <c r="AD137" s="40" t="n"/>
      <c r="AE137" s="40" t="n"/>
      <c r="AF137" s="40" t="n"/>
      <c r="AG137" s="40" t="n"/>
      <c r="AH137" s="40" t="n"/>
      <c r="AI137" s="40" t="n"/>
      <c r="AJ137" s="40" t="n"/>
      <c r="AK137" s="40" t="n"/>
      <c r="AL137" s="40" t="n"/>
      <c r="AM137" s="40" t="n"/>
      <c r="AN137" s="40" t="n"/>
      <c r="AO137" s="40" t="n"/>
      <c r="AP137" s="40" t="n"/>
      <c r="AQ137" s="40" t="n"/>
    </row>
    <row r="138">
      <c r="A138" s="40" t="inlineStr">
        <is>
          <t>ORI135</t>
        </is>
      </c>
      <c r="B138" s="46" t="n"/>
      <c r="C138" s="40" t="n"/>
      <c r="D138" s="40" t="n"/>
      <c r="E138" s="40" t="n"/>
      <c r="F138" s="44" t="n"/>
      <c r="G138" s="40" t="n"/>
      <c r="H138" s="40" t="n"/>
      <c r="I138" s="44">
        <f>IFERROR(EDATE(F138,H138),"")</f>
        <v/>
      </c>
      <c r="J138" s="47" t="n"/>
      <c r="K138" s="40" t="n"/>
      <c r="L138" s="40" t="n"/>
      <c r="M138" s="40" t="n"/>
      <c r="N138" s="40" t="n"/>
      <c r="O138" s="40">
        <f>IF($B138="","",IFERROR(INDEX('CHUYÊN CẦN'!$C$3:$N$202,MATCH($A138,'CHUYÊN CẦN'!$A$3:$A$202,0),MONTH(TODAY())),0))</f>
        <v/>
      </c>
      <c r="P138" s="44">
        <f>IF($B138="","",IF(SUMPRODUCT(MAX(('NHẬT KÝ CSKH'!$B$3:$B$1000=$A138)*'NHẬT KÝ CSKH'!$A$3:$A$1000))=0,"",SUMPRODUCT(MAX(('NHẬT KÝ CSKH'!$B$3:$B$1000=$A138)*'NHẬT KÝ CSKH'!$A$3:$A$1000))))</f>
        <v/>
      </c>
      <c r="Q138" s="40">
        <f>IF($B138="","",IF($I138="","",$I138-TODAY()))</f>
        <v/>
      </c>
      <c r="R138" s="40">
        <f>IF($B138="","",IF($O138&gt;=3,2,0)+IF($K138="Còn nợ",2,0)+IF(AND($N138="Đang học",$Q138&lt;&gt;"",$Q138&gt;=0,$Q138&lt;=30),1,0)+IF($P138="",1,IF(TODAY()-$P138&gt;60,1,0)))</f>
        <v/>
      </c>
      <c r="S138" s="40">
        <f>IF($B138="","",IF($R138&gt;=3,"CAO",IF($R138&gt;=1,"TRUNG BÌNH","THẤP")))</f>
        <v/>
      </c>
      <c r="T138" s="40" t="n"/>
      <c r="U138" s="40" t="n"/>
      <c r="V138" s="40" t="n"/>
      <c r="W138" s="40" t="n"/>
      <c r="X138" s="40" t="n"/>
      <c r="Y138" s="40" t="n"/>
      <c r="Z138" s="40" t="n"/>
      <c r="AA138" s="40" t="n"/>
      <c r="AB138" s="40" t="n"/>
      <c r="AC138" s="40" t="n"/>
      <c r="AD138" s="40" t="n"/>
      <c r="AE138" s="40" t="n"/>
      <c r="AF138" s="40" t="n"/>
      <c r="AG138" s="40" t="n"/>
      <c r="AH138" s="40" t="n"/>
      <c r="AI138" s="40" t="n"/>
      <c r="AJ138" s="40" t="n"/>
      <c r="AK138" s="40" t="n"/>
      <c r="AL138" s="40" t="n"/>
      <c r="AM138" s="40" t="n"/>
      <c r="AN138" s="40" t="n"/>
      <c r="AO138" s="40" t="n"/>
      <c r="AP138" s="40" t="n"/>
      <c r="AQ138" s="40" t="n"/>
    </row>
    <row r="139">
      <c r="A139" s="40" t="inlineStr">
        <is>
          <t>ORI136</t>
        </is>
      </c>
      <c r="B139" s="46" t="n"/>
      <c r="C139" s="40" t="n"/>
      <c r="D139" s="40" t="n"/>
      <c r="E139" s="40" t="n"/>
      <c r="F139" s="44" t="n"/>
      <c r="G139" s="40" t="n"/>
      <c r="H139" s="40" t="n"/>
      <c r="I139" s="44">
        <f>IFERROR(EDATE(F139,H139),"")</f>
        <v/>
      </c>
      <c r="J139" s="47" t="n"/>
      <c r="K139" s="40" t="n"/>
      <c r="L139" s="40" t="n"/>
      <c r="M139" s="40" t="n"/>
      <c r="N139" s="40" t="n"/>
      <c r="O139" s="40">
        <f>IF($B139="","",IFERROR(INDEX('CHUYÊN CẦN'!$C$3:$N$202,MATCH($A139,'CHUYÊN CẦN'!$A$3:$A$202,0),MONTH(TODAY())),0))</f>
        <v/>
      </c>
      <c r="P139" s="44">
        <f>IF($B139="","",IF(SUMPRODUCT(MAX(('NHẬT KÝ CSKH'!$B$3:$B$1000=$A139)*'NHẬT KÝ CSKH'!$A$3:$A$1000))=0,"",SUMPRODUCT(MAX(('NHẬT KÝ CSKH'!$B$3:$B$1000=$A139)*'NHẬT KÝ CSKH'!$A$3:$A$1000))))</f>
        <v/>
      </c>
      <c r="Q139" s="40">
        <f>IF($B139="","",IF($I139="","",$I139-TODAY()))</f>
        <v/>
      </c>
      <c r="R139" s="40">
        <f>IF($B139="","",IF($O139&gt;=3,2,0)+IF($K139="Còn nợ",2,0)+IF(AND($N139="Đang học",$Q139&lt;&gt;"",$Q139&gt;=0,$Q139&lt;=30),1,0)+IF($P139="",1,IF(TODAY()-$P139&gt;60,1,0)))</f>
        <v/>
      </c>
      <c r="S139" s="40">
        <f>IF($B139="","",IF($R139&gt;=3,"CAO",IF($R139&gt;=1,"TRUNG BÌNH","THẤP")))</f>
        <v/>
      </c>
      <c r="T139" s="40" t="n"/>
      <c r="U139" s="40" t="n"/>
      <c r="V139" s="40" t="n"/>
      <c r="W139" s="40" t="n"/>
      <c r="X139" s="40" t="n"/>
      <c r="Y139" s="40" t="n"/>
      <c r="Z139" s="40" t="n"/>
      <c r="AA139" s="40" t="n"/>
      <c r="AB139" s="40" t="n"/>
      <c r="AC139" s="40" t="n"/>
      <c r="AD139" s="40" t="n"/>
      <c r="AE139" s="40" t="n"/>
      <c r="AF139" s="40" t="n"/>
      <c r="AG139" s="40" t="n"/>
      <c r="AH139" s="40" t="n"/>
      <c r="AI139" s="40" t="n"/>
      <c r="AJ139" s="40" t="n"/>
      <c r="AK139" s="40" t="n"/>
      <c r="AL139" s="40" t="n"/>
      <c r="AM139" s="40" t="n"/>
      <c r="AN139" s="40" t="n"/>
      <c r="AO139" s="40" t="n"/>
      <c r="AP139" s="40" t="n"/>
      <c r="AQ139" s="40" t="n"/>
    </row>
    <row r="140">
      <c r="A140" s="40" t="inlineStr">
        <is>
          <t>ORI137</t>
        </is>
      </c>
      <c r="B140" s="46" t="n"/>
      <c r="C140" s="40" t="n"/>
      <c r="D140" s="40" t="n"/>
      <c r="E140" s="40" t="n"/>
      <c r="F140" s="44" t="n"/>
      <c r="G140" s="40" t="n"/>
      <c r="H140" s="40" t="n"/>
      <c r="I140" s="44">
        <f>IFERROR(EDATE(F140,H140),"")</f>
        <v/>
      </c>
      <c r="J140" s="47" t="n"/>
      <c r="K140" s="40" t="n"/>
      <c r="L140" s="40" t="n"/>
      <c r="M140" s="40" t="n"/>
      <c r="N140" s="40" t="n"/>
      <c r="O140" s="40">
        <f>IF($B140="","",IFERROR(INDEX('CHUYÊN CẦN'!$C$3:$N$202,MATCH($A140,'CHUYÊN CẦN'!$A$3:$A$202,0),MONTH(TODAY())),0))</f>
        <v/>
      </c>
      <c r="P140" s="44">
        <f>IF($B140="","",IF(SUMPRODUCT(MAX(('NHẬT KÝ CSKH'!$B$3:$B$1000=$A140)*'NHẬT KÝ CSKH'!$A$3:$A$1000))=0,"",SUMPRODUCT(MAX(('NHẬT KÝ CSKH'!$B$3:$B$1000=$A140)*'NHẬT KÝ CSKH'!$A$3:$A$1000))))</f>
        <v/>
      </c>
      <c r="Q140" s="40">
        <f>IF($B140="","",IF($I140="","",$I140-TODAY()))</f>
        <v/>
      </c>
      <c r="R140" s="40">
        <f>IF($B140="","",IF($O140&gt;=3,2,0)+IF($K140="Còn nợ",2,0)+IF(AND($N140="Đang học",$Q140&lt;&gt;"",$Q140&gt;=0,$Q140&lt;=30),1,0)+IF($P140="",1,IF(TODAY()-$P140&gt;60,1,0)))</f>
        <v/>
      </c>
      <c r="S140" s="40">
        <f>IF($B140="","",IF($R140&gt;=3,"CAO",IF($R140&gt;=1,"TRUNG BÌNH","THẤP")))</f>
        <v/>
      </c>
      <c r="T140" s="40" t="n"/>
      <c r="U140" s="40" t="n"/>
      <c r="V140" s="40" t="n"/>
      <c r="W140" s="40" t="n"/>
      <c r="X140" s="40" t="n"/>
      <c r="Y140" s="40" t="n"/>
      <c r="Z140" s="40" t="n"/>
      <c r="AA140" s="40" t="n"/>
      <c r="AB140" s="40" t="n"/>
      <c r="AC140" s="40" t="n"/>
      <c r="AD140" s="40" t="n"/>
      <c r="AE140" s="40" t="n"/>
      <c r="AF140" s="40" t="n"/>
      <c r="AG140" s="40" t="n"/>
      <c r="AH140" s="40" t="n"/>
      <c r="AI140" s="40" t="n"/>
      <c r="AJ140" s="40" t="n"/>
      <c r="AK140" s="40" t="n"/>
      <c r="AL140" s="40" t="n"/>
      <c r="AM140" s="40" t="n"/>
      <c r="AN140" s="40" t="n"/>
      <c r="AO140" s="40" t="n"/>
      <c r="AP140" s="40" t="n"/>
      <c r="AQ140" s="40" t="n"/>
    </row>
    <row r="141">
      <c r="A141" s="40" t="inlineStr">
        <is>
          <t>ORI138</t>
        </is>
      </c>
      <c r="B141" s="46" t="n"/>
      <c r="C141" s="40" t="n"/>
      <c r="D141" s="40" t="n"/>
      <c r="E141" s="40" t="n"/>
      <c r="F141" s="44" t="n"/>
      <c r="G141" s="40" t="n"/>
      <c r="H141" s="40" t="n"/>
      <c r="I141" s="44">
        <f>IFERROR(EDATE(F141,H141),"")</f>
        <v/>
      </c>
      <c r="J141" s="47" t="n"/>
      <c r="K141" s="40" t="n"/>
      <c r="L141" s="40" t="n"/>
      <c r="M141" s="40" t="n"/>
      <c r="N141" s="40" t="n"/>
      <c r="O141" s="40">
        <f>IF($B141="","",IFERROR(INDEX('CHUYÊN CẦN'!$C$3:$N$202,MATCH($A141,'CHUYÊN CẦN'!$A$3:$A$202,0),MONTH(TODAY())),0))</f>
        <v/>
      </c>
      <c r="P141" s="44">
        <f>IF($B141="","",IF(SUMPRODUCT(MAX(('NHẬT KÝ CSKH'!$B$3:$B$1000=$A141)*'NHẬT KÝ CSKH'!$A$3:$A$1000))=0,"",SUMPRODUCT(MAX(('NHẬT KÝ CSKH'!$B$3:$B$1000=$A141)*'NHẬT KÝ CSKH'!$A$3:$A$1000))))</f>
        <v/>
      </c>
      <c r="Q141" s="40">
        <f>IF($B141="","",IF($I141="","",$I141-TODAY()))</f>
        <v/>
      </c>
      <c r="R141" s="40">
        <f>IF($B141="","",IF($O141&gt;=3,2,0)+IF($K141="Còn nợ",2,0)+IF(AND($N141="Đang học",$Q141&lt;&gt;"",$Q141&gt;=0,$Q141&lt;=30),1,0)+IF($P141="",1,IF(TODAY()-$P141&gt;60,1,0)))</f>
        <v/>
      </c>
      <c r="S141" s="40">
        <f>IF($B141="","",IF($R141&gt;=3,"CAO",IF($R141&gt;=1,"TRUNG BÌNH","THẤP")))</f>
        <v/>
      </c>
      <c r="T141" s="40" t="n"/>
      <c r="U141" s="40" t="n"/>
      <c r="V141" s="40" t="n"/>
      <c r="W141" s="40" t="n"/>
      <c r="X141" s="40" t="n"/>
      <c r="Y141" s="40" t="n"/>
      <c r="Z141" s="40" t="n"/>
      <c r="AA141" s="40" t="n"/>
      <c r="AB141" s="40" t="n"/>
      <c r="AC141" s="40" t="n"/>
      <c r="AD141" s="40" t="n"/>
      <c r="AE141" s="40" t="n"/>
      <c r="AF141" s="40" t="n"/>
      <c r="AG141" s="40" t="n"/>
      <c r="AH141" s="40" t="n"/>
      <c r="AI141" s="40" t="n"/>
      <c r="AJ141" s="40" t="n"/>
      <c r="AK141" s="40" t="n"/>
      <c r="AL141" s="40" t="n"/>
      <c r="AM141" s="40" t="n"/>
      <c r="AN141" s="40" t="n"/>
      <c r="AO141" s="40" t="n"/>
      <c r="AP141" s="40" t="n"/>
      <c r="AQ141" s="40" t="n"/>
    </row>
    <row r="142">
      <c r="A142" s="40" t="inlineStr">
        <is>
          <t>ORI139</t>
        </is>
      </c>
      <c r="B142" s="46" t="n"/>
      <c r="C142" s="40" t="n"/>
      <c r="D142" s="40" t="n"/>
      <c r="E142" s="40" t="n"/>
      <c r="F142" s="44" t="n"/>
      <c r="G142" s="40" t="n"/>
      <c r="H142" s="40" t="n"/>
      <c r="I142" s="44">
        <f>IFERROR(EDATE(F142,H142),"")</f>
        <v/>
      </c>
      <c r="J142" s="47" t="n"/>
      <c r="K142" s="40" t="n"/>
      <c r="L142" s="40" t="n"/>
      <c r="M142" s="40" t="n"/>
      <c r="N142" s="40" t="n"/>
      <c r="O142" s="40">
        <f>IF($B142="","",IFERROR(INDEX('CHUYÊN CẦN'!$C$3:$N$202,MATCH($A142,'CHUYÊN CẦN'!$A$3:$A$202,0),MONTH(TODAY())),0))</f>
        <v/>
      </c>
      <c r="P142" s="44">
        <f>IF($B142="","",IF(SUMPRODUCT(MAX(('NHẬT KÝ CSKH'!$B$3:$B$1000=$A142)*'NHẬT KÝ CSKH'!$A$3:$A$1000))=0,"",SUMPRODUCT(MAX(('NHẬT KÝ CSKH'!$B$3:$B$1000=$A142)*'NHẬT KÝ CSKH'!$A$3:$A$1000))))</f>
        <v/>
      </c>
      <c r="Q142" s="40">
        <f>IF($B142="","",IF($I142="","",$I142-TODAY()))</f>
        <v/>
      </c>
      <c r="R142" s="40">
        <f>IF($B142="","",IF($O142&gt;=3,2,0)+IF($K142="Còn nợ",2,0)+IF(AND($N142="Đang học",$Q142&lt;&gt;"",$Q142&gt;=0,$Q142&lt;=30),1,0)+IF($P142="",1,IF(TODAY()-$P142&gt;60,1,0)))</f>
        <v/>
      </c>
      <c r="S142" s="40">
        <f>IF($B142="","",IF($R142&gt;=3,"CAO",IF($R142&gt;=1,"TRUNG BÌNH","THẤP")))</f>
        <v/>
      </c>
      <c r="T142" s="40" t="n"/>
      <c r="U142" s="40" t="n"/>
      <c r="V142" s="40" t="n"/>
      <c r="W142" s="40" t="n"/>
      <c r="X142" s="40" t="n"/>
      <c r="Y142" s="40" t="n"/>
      <c r="Z142" s="40" t="n"/>
      <c r="AA142" s="40" t="n"/>
      <c r="AB142" s="40" t="n"/>
      <c r="AC142" s="40" t="n"/>
      <c r="AD142" s="40" t="n"/>
      <c r="AE142" s="40" t="n"/>
      <c r="AF142" s="40" t="n"/>
      <c r="AG142" s="40" t="n"/>
      <c r="AH142" s="40" t="n"/>
      <c r="AI142" s="40" t="n"/>
      <c r="AJ142" s="40" t="n"/>
      <c r="AK142" s="40" t="n"/>
      <c r="AL142" s="40" t="n"/>
      <c r="AM142" s="40" t="n"/>
      <c r="AN142" s="40" t="n"/>
      <c r="AO142" s="40" t="n"/>
      <c r="AP142" s="40" t="n"/>
      <c r="AQ142" s="40" t="n"/>
    </row>
    <row r="143">
      <c r="A143" s="40" t="inlineStr">
        <is>
          <t>ORI140</t>
        </is>
      </c>
      <c r="B143" s="46" t="n"/>
      <c r="C143" s="40" t="n"/>
      <c r="D143" s="40" t="n"/>
      <c r="E143" s="40" t="n"/>
      <c r="F143" s="44" t="n"/>
      <c r="G143" s="40" t="n"/>
      <c r="H143" s="40" t="n"/>
      <c r="I143" s="44">
        <f>IFERROR(EDATE(F143,H143),"")</f>
        <v/>
      </c>
      <c r="J143" s="47" t="n"/>
      <c r="K143" s="40" t="n"/>
      <c r="L143" s="40" t="n"/>
      <c r="M143" s="40" t="n"/>
      <c r="N143" s="40" t="n"/>
      <c r="O143" s="40">
        <f>IF($B143="","",IFERROR(INDEX('CHUYÊN CẦN'!$C$3:$N$202,MATCH($A143,'CHUYÊN CẦN'!$A$3:$A$202,0),MONTH(TODAY())),0))</f>
        <v/>
      </c>
      <c r="P143" s="44">
        <f>IF($B143="","",IF(SUMPRODUCT(MAX(('NHẬT KÝ CSKH'!$B$3:$B$1000=$A143)*'NHẬT KÝ CSKH'!$A$3:$A$1000))=0,"",SUMPRODUCT(MAX(('NHẬT KÝ CSKH'!$B$3:$B$1000=$A143)*'NHẬT KÝ CSKH'!$A$3:$A$1000))))</f>
        <v/>
      </c>
      <c r="Q143" s="40">
        <f>IF($B143="","",IF($I143="","",$I143-TODAY()))</f>
        <v/>
      </c>
      <c r="R143" s="40">
        <f>IF($B143="","",IF($O143&gt;=3,2,0)+IF($K143="Còn nợ",2,0)+IF(AND($N143="Đang học",$Q143&lt;&gt;"",$Q143&gt;=0,$Q143&lt;=30),1,0)+IF($P143="",1,IF(TODAY()-$P143&gt;60,1,0)))</f>
        <v/>
      </c>
      <c r="S143" s="40">
        <f>IF($B143="","",IF($R143&gt;=3,"CAO",IF($R143&gt;=1,"TRUNG BÌNH","THẤP")))</f>
        <v/>
      </c>
      <c r="T143" s="40" t="n"/>
      <c r="U143" s="40" t="n"/>
      <c r="V143" s="40" t="n"/>
      <c r="W143" s="40" t="n"/>
      <c r="X143" s="40" t="n"/>
      <c r="Y143" s="40" t="n"/>
      <c r="Z143" s="40" t="n"/>
      <c r="AA143" s="40" t="n"/>
      <c r="AB143" s="40" t="n"/>
      <c r="AC143" s="40" t="n"/>
      <c r="AD143" s="40" t="n"/>
      <c r="AE143" s="40" t="n"/>
      <c r="AF143" s="40" t="n"/>
      <c r="AG143" s="40" t="n"/>
      <c r="AH143" s="40" t="n"/>
      <c r="AI143" s="40" t="n"/>
      <c r="AJ143" s="40" t="n"/>
      <c r="AK143" s="40" t="n"/>
      <c r="AL143" s="40" t="n"/>
      <c r="AM143" s="40" t="n"/>
      <c r="AN143" s="40" t="n"/>
      <c r="AO143" s="40" t="n"/>
      <c r="AP143" s="40" t="n"/>
      <c r="AQ143" s="40" t="n"/>
    </row>
    <row r="144">
      <c r="A144" s="40" t="inlineStr">
        <is>
          <t>ORI141</t>
        </is>
      </c>
      <c r="B144" s="46" t="n"/>
      <c r="C144" s="40" t="n"/>
      <c r="D144" s="40" t="n"/>
      <c r="E144" s="40" t="n"/>
      <c r="F144" s="44" t="n"/>
      <c r="G144" s="40" t="n"/>
      <c r="H144" s="40" t="n"/>
      <c r="I144" s="44">
        <f>IFERROR(EDATE(F144,H144),"")</f>
        <v/>
      </c>
      <c r="J144" s="47" t="n"/>
      <c r="K144" s="40" t="n"/>
      <c r="L144" s="40" t="n"/>
      <c r="M144" s="40" t="n"/>
      <c r="N144" s="40" t="n"/>
      <c r="O144" s="40">
        <f>IF($B144="","",IFERROR(INDEX('CHUYÊN CẦN'!$C$3:$N$202,MATCH($A144,'CHUYÊN CẦN'!$A$3:$A$202,0),MONTH(TODAY())),0))</f>
        <v/>
      </c>
      <c r="P144" s="44">
        <f>IF($B144="","",IF(SUMPRODUCT(MAX(('NHẬT KÝ CSKH'!$B$3:$B$1000=$A144)*'NHẬT KÝ CSKH'!$A$3:$A$1000))=0,"",SUMPRODUCT(MAX(('NHẬT KÝ CSKH'!$B$3:$B$1000=$A144)*'NHẬT KÝ CSKH'!$A$3:$A$1000))))</f>
        <v/>
      </c>
      <c r="Q144" s="40">
        <f>IF($B144="","",IF($I144="","",$I144-TODAY()))</f>
        <v/>
      </c>
      <c r="R144" s="40">
        <f>IF($B144="","",IF($O144&gt;=3,2,0)+IF($K144="Còn nợ",2,0)+IF(AND($N144="Đang học",$Q144&lt;&gt;"",$Q144&gt;=0,$Q144&lt;=30),1,0)+IF($P144="",1,IF(TODAY()-$P144&gt;60,1,0)))</f>
        <v/>
      </c>
      <c r="S144" s="40">
        <f>IF($B144="","",IF($R144&gt;=3,"CAO",IF($R144&gt;=1,"TRUNG BÌNH","THẤP")))</f>
        <v/>
      </c>
      <c r="T144" s="40" t="n"/>
      <c r="U144" s="40" t="n"/>
      <c r="V144" s="40" t="n"/>
      <c r="W144" s="40" t="n"/>
      <c r="X144" s="40" t="n"/>
      <c r="Y144" s="40" t="n"/>
      <c r="Z144" s="40" t="n"/>
      <c r="AA144" s="40" t="n"/>
      <c r="AB144" s="40" t="n"/>
      <c r="AC144" s="40" t="n"/>
      <c r="AD144" s="40" t="n"/>
      <c r="AE144" s="40" t="n"/>
      <c r="AF144" s="40" t="n"/>
      <c r="AG144" s="40" t="n"/>
      <c r="AH144" s="40" t="n"/>
      <c r="AI144" s="40" t="n"/>
      <c r="AJ144" s="40" t="n"/>
      <c r="AK144" s="40" t="n"/>
      <c r="AL144" s="40" t="n"/>
      <c r="AM144" s="40" t="n"/>
      <c r="AN144" s="40" t="n"/>
      <c r="AO144" s="40" t="n"/>
      <c r="AP144" s="40" t="n"/>
      <c r="AQ144" s="40" t="n"/>
    </row>
    <row r="145">
      <c r="A145" s="40" t="inlineStr">
        <is>
          <t>ORI142</t>
        </is>
      </c>
      <c r="B145" s="46" t="n"/>
      <c r="C145" s="40" t="n"/>
      <c r="D145" s="40" t="n"/>
      <c r="E145" s="40" t="n"/>
      <c r="F145" s="44" t="n"/>
      <c r="G145" s="40" t="n"/>
      <c r="H145" s="40" t="n"/>
      <c r="I145" s="44">
        <f>IFERROR(EDATE(F145,H145),"")</f>
        <v/>
      </c>
      <c r="J145" s="47" t="n"/>
      <c r="K145" s="40" t="n"/>
      <c r="L145" s="40" t="n"/>
      <c r="M145" s="40" t="n"/>
      <c r="N145" s="40" t="n"/>
      <c r="O145" s="40">
        <f>IF($B145="","",IFERROR(INDEX('CHUYÊN CẦN'!$C$3:$N$202,MATCH($A145,'CHUYÊN CẦN'!$A$3:$A$202,0),MONTH(TODAY())),0))</f>
        <v/>
      </c>
      <c r="P145" s="44">
        <f>IF($B145="","",IF(SUMPRODUCT(MAX(('NHẬT KÝ CSKH'!$B$3:$B$1000=$A145)*'NHẬT KÝ CSKH'!$A$3:$A$1000))=0,"",SUMPRODUCT(MAX(('NHẬT KÝ CSKH'!$B$3:$B$1000=$A145)*'NHẬT KÝ CSKH'!$A$3:$A$1000))))</f>
        <v/>
      </c>
      <c r="Q145" s="40">
        <f>IF($B145="","",IF($I145="","",$I145-TODAY()))</f>
        <v/>
      </c>
      <c r="R145" s="40">
        <f>IF($B145="","",IF($O145&gt;=3,2,0)+IF($K145="Còn nợ",2,0)+IF(AND($N145="Đang học",$Q145&lt;&gt;"",$Q145&gt;=0,$Q145&lt;=30),1,0)+IF($P145="",1,IF(TODAY()-$P145&gt;60,1,0)))</f>
        <v/>
      </c>
      <c r="S145" s="40">
        <f>IF($B145="","",IF($R145&gt;=3,"CAO",IF($R145&gt;=1,"TRUNG BÌNH","THẤP")))</f>
        <v/>
      </c>
      <c r="T145" s="40" t="n"/>
      <c r="U145" s="40" t="n"/>
      <c r="V145" s="40" t="n"/>
      <c r="W145" s="40" t="n"/>
      <c r="X145" s="40" t="n"/>
      <c r="Y145" s="40" t="n"/>
      <c r="Z145" s="40" t="n"/>
      <c r="AA145" s="40" t="n"/>
      <c r="AB145" s="40" t="n"/>
      <c r="AC145" s="40" t="n"/>
      <c r="AD145" s="40" t="n"/>
      <c r="AE145" s="40" t="n"/>
      <c r="AF145" s="40" t="n"/>
      <c r="AG145" s="40" t="n"/>
      <c r="AH145" s="40" t="n"/>
      <c r="AI145" s="40" t="n"/>
      <c r="AJ145" s="40" t="n"/>
      <c r="AK145" s="40" t="n"/>
      <c r="AL145" s="40" t="n"/>
      <c r="AM145" s="40" t="n"/>
      <c r="AN145" s="40" t="n"/>
      <c r="AO145" s="40" t="n"/>
      <c r="AP145" s="40" t="n"/>
      <c r="AQ145" s="40" t="n"/>
    </row>
    <row r="146">
      <c r="A146" s="40" t="inlineStr">
        <is>
          <t>ORI143</t>
        </is>
      </c>
      <c r="B146" s="46" t="n"/>
      <c r="C146" s="40" t="n"/>
      <c r="D146" s="40" t="n"/>
      <c r="E146" s="40" t="n"/>
      <c r="F146" s="44" t="n"/>
      <c r="G146" s="40" t="n"/>
      <c r="H146" s="40" t="n"/>
      <c r="I146" s="44">
        <f>IFERROR(EDATE(F146,H146),"")</f>
        <v/>
      </c>
      <c r="J146" s="47" t="n"/>
      <c r="K146" s="40" t="n"/>
      <c r="L146" s="40" t="n"/>
      <c r="M146" s="40" t="n"/>
      <c r="N146" s="40" t="n"/>
      <c r="O146" s="40">
        <f>IF($B146="","",IFERROR(INDEX('CHUYÊN CẦN'!$C$3:$N$202,MATCH($A146,'CHUYÊN CẦN'!$A$3:$A$202,0),MONTH(TODAY())),0))</f>
        <v/>
      </c>
      <c r="P146" s="44">
        <f>IF($B146="","",IF(SUMPRODUCT(MAX(('NHẬT KÝ CSKH'!$B$3:$B$1000=$A146)*'NHẬT KÝ CSKH'!$A$3:$A$1000))=0,"",SUMPRODUCT(MAX(('NHẬT KÝ CSKH'!$B$3:$B$1000=$A146)*'NHẬT KÝ CSKH'!$A$3:$A$1000))))</f>
        <v/>
      </c>
      <c r="Q146" s="40">
        <f>IF($B146="","",IF($I146="","",$I146-TODAY()))</f>
        <v/>
      </c>
      <c r="R146" s="40">
        <f>IF($B146="","",IF($O146&gt;=3,2,0)+IF($K146="Còn nợ",2,0)+IF(AND($N146="Đang học",$Q146&lt;&gt;"",$Q146&gt;=0,$Q146&lt;=30),1,0)+IF($P146="",1,IF(TODAY()-$P146&gt;60,1,0)))</f>
        <v/>
      </c>
      <c r="S146" s="40">
        <f>IF($B146="","",IF($R146&gt;=3,"CAO",IF($R146&gt;=1,"TRUNG BÌNH","THẤP")))</f>
        <v/>
      </c>
      <c r="T146" s="40" t="n"/>
      <c r="U146" s="40" t="n"/>
      <c r="V146" s="40" t="n"/>
      <c r="W146" s="40" t="n"/>
      <c r="X146" s="40" t="n"/>
      <c r="Y146" s="40" t="n"/>
      <c r="Z146" s="40" t="n"/>
      <c r="AA146" s="40" t="n"/>
      <c r="AB146" s="40" t="n"/>
      <c r="AC146" s="40" t="n"/>
      <c r="AD146" s="40" t="n"/>
      <c r="AE146" s="40" t="n"/>
      <c r="AF146" s="40" t="n"/>
      <c r="AG146" s="40" t="n"/>
      <c r="AH146" s="40" t="n"/>
      <c r="AI146" s="40" t="n"/>
      <c r="AJ146" s="40" t="n"/>
      <c r="AK146" s="40" t="n"/>
      <c r="AL146" s="40" t="n"/>
      <c r="AM146" s="40" t="n"/>
      <c r="AN146" s="40" t="n"/>
      <c r="AO146" s="40" t="n"/>
      <c r="AP146" s="40" t="n"/>
      <c r="AQ146" s="40" t="n"/>
    </row>
    <row r="147">
      <c r="A147" s="40" t="inlineStr">
        <is>
          <t>ORI144</t>
        </is>
      </c>
      <c r="B147" s="46" t="n"/>
      <c r="C147" s="40" t="n"/>
      <c r="D147" s="40" t="n"/>
      <c r="E147" s="40" t="n"/>
      <c r="F147" s="44" t="n"/>
      <c r="G147" s="40" t="n"/>
      <c r="H147" s="40" t="n"/>
      <c r="I147" s="44">
        <f>IFERROR(EDATE(F147,H147),"")</f>
        <v/>
      </c>
      <c r="J147" s="47" t="n"/>
      <c r="K147" s="40" t="n"/>
      <c r="L147" s="40" t="n"/>
      <c r="M147" s="40" t="n"/>
      <c r="N147" s="40" t="n"/>
      <c r="O147" s="40">
        <f>IF($B147="","",IFERROR(INDEX('CHUYÊN CẦN'!$C$3:$N$202,MATCH($A147,'CHUYÊN CẦN'!$A$3:$A$202,0),MONTH(TODAY())),0))</f>
        <v/>
      </c>
      <c r="P147" s="44">
        <f>IF($B147="","",IF(SUMPRODUCT(MAX(('NHẬT KÝ CSKH'!$B$3:$B$1000=$A147)*'NHẬT KÝ CSKH'!$A$3:$A$1000))=0,"",SUMPRODUCT(MAX(('NHẬT KÝ CSKH'!$B$3:$B$1000=$A147)*'NHẬT KÝ CSKH'!$A$3:$A$1000))))</f>
        <v/>
      </c>
      <c r="Q147" s="40">
        <f>IF($B147="","",IF($I147="","",$I147-TODAY()))</f>
        <v/>
      </c>
      <c r="R147" s="40">
        <f>IF($B147="","",IF($O147&gt;=3,2,0)+IF($K147="Còn nợ",2,0)+IF(AND($N147="Đang học",$Q147&lt;&gt;"",$Q147&gt;=0,$Q147&lt;=30),1,0)+IF($P147="",1,IF(TODAY()-$P147&gt;60,1,0)))</f>
        <v/>
      </c>
      <c r="S147" s="40">
        <f>IF($B147="","",IF($R147&gt;=3,"CAO",IF($R147&gt;=1,"TRUNG BÌNH","THẤP")))</f>
        <v/>
      </c>
      <c r="T147" s="40" t="n"/>
      <c r="U147" s="40" t="n"/>
      <c r="V147" s="40" t="n"/>
      <c r="W147" s="40" t="n"/>
      <c r="X147" s="40" t="n"/>
      <c r="Y147" s="40" t="n"/>
      <c r="Z147" s="40" t="n"/>
      <c r="AA147" s="40" t="n"/>
      <c r="AB147" s="40" t="n"/>
      <c r="AC147" s="40" t="n"/>
      <c r="AD147" s="40" t="n"/>
      <c r="AE147" s="40" t="n"/>
      <c r="AF147" s="40" t="n"/>
      <c r="AG147" s="40" t="n"/>
      <c r="AH147" s="40" t="n"/>
      <c r="AI147" s="40" t="n"/>
      <c r="AJ147" s="40" t="n"/>
      <c r="AK147" s="40" t="n"/>
      <c r="AL147" s="40" t="n"/>
      <c r="AM147" s="40" t="n"/>
      <c r="AN147" s="40" t="n"/>
      <c r="AO147" s="40" t="n"/>
      <c r="AP147" s="40" t="n"/>
      <c r="AQ147" s="40" t="n"/>
    </row>
    <row r="148">
      <c r="A148" s="40" t="inlineStr">
        <is>
          <t>ORI145</t>
        </is>
      </c>
      <c r="B148" s="46" t="n"/>
      <c r="C148" s="40" t="n"/>
      <c r="D148" s="40" t="n"/>
      <c r="E148" s="40" t="n"/>
      <c r="F148" s="44" t="n"/>
      <c r="G148" s="40" t="n"/>
      <c r="H148" s="40" t="n"/>
      <c r="I148" s="44">
        <f>IFERROR(EDATE(F148,H148),"")</f>
        <v/>
      </c>
      <c r="J148" s="47" t="n"/>
      <c r="K148" s="40" t="n"/>
      <c r="L148" s="40" t="n"/>
      <c r="M148" s="40" t="n"/>
      <c r="N148" s="40" t="n"/>
      <c r="O148" s="40">
        <f>IF($B148="","",IFERROR(INDEX('CHUYÊN CẦN'!$C$3:$N$202,MATCH($A148,'CHUYÊN CẦN'!$A$3:$A$202,0),MONTH(TODAY())),0))</f>
        <v/>
      </c>
      <c r="P148" s="44">
        <f>IF($B148="","",IF(SUMPRODUCT(MAX(('NHẬT KÝ CSKH'!$B$3:$B$1000=$A148)*'NHẬT KÝ CSKH'!$A$3:$A$1000))=0,"",SUMPRODUCT(MAX(('NHẬT KÝ CSKH'!$B$3:$B$1000=$A148)*'NHẬT KÝ CSKH'!$A$3:$A$1000))))</f>
        <v/>
      </c>
      <c r="Q148" s="40">
        <f>IF($B148="","",IF($I148="","",$I148-TODAY()))</f>
        <v/>
      </c>
      <c r="R148" s="40">
        <f>IF($B148="","",IF($O148&gt;=3,2,0)+IF($K148="Còn nợ",2,0)+IF(AND($N148="Đang học",$Q148&lt;&gt;"",$Q148&gt;=0,$Q148&lt;=30),1,0)+IF($P148="",1,IF(TODAY()-$P148&gt;60,1,0)))</f>
        <v/>
      </c>
      <c r="S148" s="40">
        <f>IF($B148="","",IF($R148&gt;=3,"CAO",IF($R148&gt;=1,"TRUNG BÌNH","THẤP")))</f>
        <v/>
      </c>
      <c r="T148" s="40" t="n"/>
      <c r="U148" s="40" t="n"/>
      <c r="V148" s="40" t="n"/>
      <c r="W148" s="40" t="n"/>
      <c r="X148" s="40" t="n"/>
      <c r="Y148" s="40" t="n"/>
      <c r="Z148" s="40" t="n"/>
      <c r="AA148" s="40" t="n"/>
      <c r="AB148" s="40" t="n"/>
      <c r="AC148" s="40" t="n"/>
      <c r="AD148" s="40" t="n"/>
      <c r="AE148" s="40" t="n"/>
      <c r="AF148" s="40" t="n"/>
      <c r="AG148" s="40" t="n"/>
      <c r="AH148" s="40" t="n"/>
      <c r="AI148" s="40" t="n"/>
      <c r="AJ148" s="40" t="n"/>
      <c r="AK148" s="40" t="n"/>
      <c r="AL148" s="40" t="n"/>
      <c r="AM148" s="40" t="n"/>
      <c r="AN148" s="40" t="n"/>
      <c r="AO148" s="40" t="n"/>
      <c r="AP148" s="40" t="n"/>
      <c r="AQ148" s="40" t="n"/>
    </row>
    <row r="149">
      <c r="A149" s="40" t="inlineStr">
        <is>
          <t>ORI146</t>
        </is>
      </c>
      <c r="B149" s="46" t="n"/>
      <c r="C149" s="40" t="n"/>
      <c r="D149" s="40" t="n"/>
      <c r="E149" s="40" t="n"/>
      <c r="F149" s="44" t="n"/>
      <c r="G149" s="40" t="n"/>
      <c r="H149" s="40" t="n"/>
      <c r="I149" s="44">
        <f>IFERROR(EDATE(F149,H149),"")</f>
        <v/>
      </c>
      <c r="J149" s="47" t="n"/>
      <c r="K149" s="40" t="n"/>
      <c r="L149" s="40" t="n"/>
      <c r="M149" s="40" t="n"/>
      <c r="N149" s="40" t="n"/>
      <c r="O149" s="40">
        <f>IF($B149="","",IFERROR(INDEX('CHUYÊN CẦN'!$C$3:$N$202,MATCH($A149,'CHUYÊN CẦN'!$A$3:$A$202,0),MONTH(TODAY())),0))</f>
        <v/>
      </c>
      <c r="P149" s="44">
        <f>IF($B149="","",IF(SUMPRODUCT(MAX(('NHẬT KÝ CSKH'!$B$3:$B$1000=$A149)*'NHẬT KÝ CSKH'!$A$3:$A$1000))=0,"",SUMPRODUCT(MAX(('NHẬT KÝ CSKH'!$B$3:$B$1000=$A149)*'NHẬT KÝ CSKH'!$A$3:$A$1000))))</f>
        <v/>
      </c>
      <c r="Q149" s="40">
        <f>IF($B149="","",IF($I149="","",$I149-TODAY()))</f>
        <v/>
      </c>
      <c r="R149" s="40">
        <f>IF($B149="","",IF($O149&gt;=3,2,0)+IF($K149="Còn nợ",2,0)+IF(AND($N149="Đang học",$Q149&lt;&gt;"",$Q149&gt;=0,$Q149&lt;=30),1,0)+IF($P149="",1,IF(TODAY()-$P149&gt;60,1,0)))</f>
        <v/>
      </c>
      <c r="S149" s="40">
        <f>IF($B149="","",IF($R149&gt;=3,"CAO",IF($R149&gt;=1,"TRUNG BÌNH","THẤP")))</f>
        <v/>
      </c>
      <c r="T149" s="40" t="n"/>
      <c r="U149" s="40" t="n"/>
      <c r="V149" s="40" t="n"/>
      <c r="W149" s="40" t="n"/>
      <c r="X149" s="40" t="n"/>
      <c r="Y149" s="40" t="n"/>
      <c r="Z149" s="40" t="n"/>
      <c r="AA149" s="40" t="n"/>
      <c r="AB149" s="40" t="n"/>
      <c r="AC149" s="40" t="n"/>
      <c r="AD149" s="40" t="n"/>
      <c r="AE149" s="40" t="n"/>
      <c r="AF149" s="40" t="n"/>
      <c r="AG149" s="40" t="n"/>
      <c r="AH149" s="40" t="n"/>
      <c r="AI149" s="40" t="n"/>
      <c r="AJ149" s="40" t="n"/>
      <c r="AK149" s="40" t="n"/>
      <c r="AL149" s="40" t="n"/>
      <c r="AM149" s="40" t="n"/>
      <c r="AN149" s="40" t="n"/>
      <c r="AO149" s="40" t="n"/>
      <c r="AP149" s="40" t="n"/>
      <c r="AQ149" s="40" t="n"/>
    </row>
    <row r="150">
      <c r="A150" s="40" t="inlineStr">
        <is>
          <t>ORI147</t>
        </is>
      </c>
      <c r="B150" s="46" t="n"/>
      <c r="C150" s="40" t="n"/>
      <c r="D150" s="40" t="n"/>
      <c r="E150" s="40" t="n"/>
      <c r="F150" s="44" t="n"/>
      <c r="G150" s="40" t="n"/>
      <c r="H150" s="40" t="n"/>
      <c r="I150" s="44">
        <f>IFERROR(EDATE(F150,H150),"")</f>
        <v/>
      </c>
      <c r="J150" s="47" t="n"/>
      <c r="K150" s="40" t="n"/>
      <c r="L150" s="40" t="n"/>
      <c r="M150" s="40" t="n"/>
      <c r="N150" s="40" t="n"/>
      <c r="O150" s="40">
        <f>IF($B150="","",IFERROR(INDEX('CHUYÊN CẦN'!$C$3:$N$202,MATCH($A150,'CHUYÊN CẦN'!$A$3:$A$202,0),MONTH(TODAY())),0))</f>
        <v/>
      </c>
      <c r="P150" s="44">
        <f>IF($B150="","",IF(SUMPRODUCT(MAX(('NHẬT KÝ CSKH'!$B$3:$B$1000=$A150)*'NHẬT KÝ CSKH'!$A$3:$A$1000))=0,"",SUMPRODUCT(MAX(('NHẬT KÝ CSKH'!$B$3:$B$1000=$A150)*'NHẬT KÝ CSKH'!$A$3:$A$1000))))</f>
        <v/>
      </c>
      <c r="Q150" s="40">
        <f>IF($B150="","",IF($I150="","",$I150-TODAY()))</f>
        <v/>
      </c>
      <c r="R150" s="40">
        <f>IF($B150="","",IF($O150&gt;=3,2,0)+IF($K150="Còn nợ",2,0)+IF(AND($N150="Đang học",$Q150&lt;&gt;"",$Q150&gt;=0,$Q150&lt;=30),1,0)+IF($P150="",1,IF(TODAY()-$P150&gt;60,1,0)))</f>
        <v/>
      </c>
      <c r="S150" s="40">
        <f>IF($B150="","",IF($R150&gt;=3,"CAO",IF($R150&gt;=1,"TRUNG BÌNH","THẤP")))</f>
        <v/>
      </c>
      <c r="T150" s="40" t="n"/>
      <c r="U150" s="40" t="n"/>
      <c r="V150" s="40" t="n"/>
      <c r="W150" s="40" t="n"/>
      <c r="X150" s="40" t="n"/>
      <c r="Y150" s="40" t="n"/>
      <c r="Z150" s="40" t="n"/>
      <c r="AA150" s="40" t="n"/>
      <c r="AB150" s="40" t="n"/>
      <c r="AC150" s="40" t="n"/>
      <c r="AD150" s="40" t="n"/>
      <c r="AE150" s="40" t="n"/>
      <c r="AF150" s="40" t="n"/>
      <c r="AG150" s="40" t="n"/>
      <c r="AH150" s="40" t="n"/>
      <c r="AI150" s="40" t="n"/>
      <c r="AJ150" s="40" t="n"/>
      <c r="AK150" s="40" t="n"/>
      <c r="AL150" s="40" t="n"/>
      <c r="AM150" s="40" t="n"/>
      <c r="AN150" s="40" t="n"/>
      <c r="AO150" s="40" t="n"/>
      <c r="AP150" s="40" t="n"/>
      <c r="AQ150" s="40" t="n"/>
    </row>
    <row r="151">
      <c r="A151" s="40" t="inlineStr">
        <is>
          <t>ORI148</t>
        </is>
      </c>
      <c r="B151" s="46" t="n"/>
      <c r="C151" s="40" t="n"/>
      <c r="D151" s="40" t="n"/>
      <c r="E151" s="40" t="n"/>
      <c r="F151" s="44" t="n"/>
      <c r="G151" s="40" t="n"/>
      <c r="H151" s="40" t="n"/>
      <c r="I151" s="44">
        <f>IFERROR(EDATE(F151,H151),"")</f>
        <v/>
      </c>
      <c r="J151" s="47" t="n"/>
      <c r="K151" s="40" t="n"/>
      <c r="L151" s="40" t="n"/>
      <c r="M151" s="40" t="n"/>
      <c r="N151" s="40" t="n"/>
      <c r="O151" s="40">
        <f>IF($B151="","",IFERROR(INDEX('CHUYÊN CẦN'!$C$3:$N$202,MATCH($A151,'CHUYÊN CẦN'!$A$3:$A$202,0),MONTH(TODAY())),0))</f>
        <v/>
      </c>
      <c r="P151" s="44">
        <f>IF($B151="","",IF(SUMPRODUCT(MAX(('NHẬT KÝ CSKH'!$B$3:$B$1000=$A151)*'NHẬT KÝ CSKH'!$A$3:$A$1000))=0,"",SUMPRODUCT(MAX(('NHẬT KÝ CSKH'!$B$3:$B$1000=$A151)*'NHẬT KÝ CSKH'!$A$3:$A$1000))))</f>
        <v/>
      </c>
      <c r="Q151" s="40">
        <f>IF($B151="","",IF($I151="","",$I151-TODAY()))</f>
        <v/>
      </c>
      <c r="R151" s="40">
        <f>IF($B151="","",IF($O151&gt;=3,2,0)+IF($K151="Còn nợ",2,0)+IF(AND($N151="Đang học",$Q151&lt;&gt;"",$Q151&gt;=0,$Q151&lt;=30),1,0)+IF($P151="",1,IF(TODAY()-$P151&gt;60,1,0)))</f>
        <v/>
      </c>
      <c r="S151" s="40">
        <f>IF($B151="","",IF($R151&gt;=3,"CAO",IF($R151&gt;=1,"TRUNG BÌNH","THẤP")))</f>
        <v/>
      </c>
      <c r="T151" s="40" t="n"/>
      <c r="U151" s="40" t="n"/>
      <c r="V151" s="40" t="n"/>
      <c r="W151" s="40" t="n"/>
      <c r="X151" s="40" t="n"/>
      <c r="Y151" s="40" t="n"/>
      <c r="Z151" s="40" t="n"/>
      <c r="AA151" s="40" t="n"/>
      <c r="AB151" s="40" t="n"/>
      <c r="AC151" s="40" t="n"/>
      <c r="AD151" s="40" t="n"/>
      <c r="AE151" s="40" t="n"/>
      <c r="AF151" s="40" t="n"/>
      <c r="AG151" s="40" t="n"/>
      <c r="AH151" s="40" t="n"/>
      <c r="AI151" s="40" t="n"/>
      <c r="AJ151" s="40" t="n"/>
      <c r="AK151" s="40" t="n"/>
      <c r="AL151" s="40" t="n"/>
      <c r="AM151" s="40" t="n"/>
      <c r="AN151" s="40" t="n"/>
      <c r="AO151" s="40" t="n"/>
      <c r="AP151" s="40" t="n"/>
      <c r="AQ151" s="40" t="n"/>
    </row>
    <row r="152">
      <c r="A152" s="40" t="inlineStr">
        <is>
          <t>ORI149</t>
        </is>
      </c>
      <c r="B152" s="46" t="n"/>
      <c r="C152" s="40" t="n"/>
      <c r="D152" s="40" t="n"/>
      <c r="E152" s="40" t="n"/>
      <c r="F152" s="44" t="n"/>
      <c r="G152" s="40" t="n"/>
      <c r="H152" s="40" t="n"/>
      <c r="I152" s="44">
        <f>IFERROR(EDATE(F152,H152),"")</f>
        <v/>
      </c>
      <c r="J152" s="47" t="n"/>
      <c r="K152" s="40" t="n"/>
      <c r="L152" s="40" t="n"/>
      <c r="M152" s="40" t="n"/>
      <c r="N152" s="40" t="n"/>
      <c r="O152" s="40">
        <f>IF($B152="","",IFERROR(INDEX('CHUYÊN CẦN'!$C$3:$N$202,MATCH($A152,'CHUYÊN CẦN'!$A$3:$A$202,0),MONTH(TODAY())),0))</f>
        <v/>
      </c>
      <c r="P152" s="44">
        <f>IF($B152="","",IF(SUMPRODUCT(MAX(('NHẬT KÝ CSKH'!$B$3:$B$1000=$A152)*'NHẬT KÝ CSKH'!$A$3:$A$1000))=0,"",SUMPRODUCT(MAX(('NHẬT KÝ CSKH'!$B$3:$B$1000=$A152)*'NHẬT KÝ CSKH'!$A$3:$A$1000))))</f>
        <v/>
      </c>
      <c r="Q152" s="40">
        <f>IF($B152="","",IF($I152="","",$I152-TODAY()))</f>
        <v/>
      </c>
      <c r="R152" s="40">
        <f>IF($B152="","",IF($O152&gt;=3,2,0)+IF($K152="Còn nợ",2,0)+IF(AND($N152="Đang học",$Q152&lt;&gt;"",$Q152&gt;=0,$Q152&lt;=30),1,0)+IF($P152="",1,IF(TODAY()-$P152&gt;60,1,0)))</f>
        <v/>
      </c>
      <c r="S152" s="40">
        <f>IF($B152="","",IF($R152&gt;=3,"CAO",IF($R152&gt;=1,"TRUNG BÌNH","THẤP")))</f>
        <v/>
      </c>
      <c r="T152" s="40" t="n"/>
      <c r="U152" s="40" t="n"/>
      <c r="V152" s="40" t="n"/>
      <c r="W152" s="40" t="n"/>
      <c r="X152" s="40" t="n"/>
      <c r="Y152" s="40" t="n"/>
      <c r="Z152" s="40" t="n"/>
      <c r="AA152" s="40" t="n"/>
      <c r="AB152" s="40" t="n"/>
      <c r="AC152" s="40" t="n"/>
      <c r="AD152" s="40" t="n"/>
      <c r="AE152" s="40" t="n"/>
      <c r="AF152" s="40" t="n"/>
      <c r="AG152" s="40" t="n"/>
      <c r="AH152" s="40" t="n"/>
      <c r="AI152" s="40" t="n"/>
      <c r="AJ152" s="40" t="n"/>
      <c r="AK152" s="40" t="n"/>
      <c r="AL152" s="40" t="n"/>
      <c r="AM152" s="40" t="n"/>
      <c r="AN152" s="40" t="n"/>
      <c r="AO152" s="40" t="n"/>
      <c r="AP152" s="40" t="n"/>
      <c r="AQ152" s="40" t="n"/>
    </row>
    <row r="153">
      <c r="A153" s="40" t="inlineStr">
        <is>
          <t>ORI150</t>
        </is>
      </c>
      <c r="B153" s="46" t="n"/>
      <c r="C153" s="40" t="n"/>
      <c r="D153" s="40" t="n"/>
      <c r="E153" s="40" t="n"/>
      <c r="F153" s="44" t="n"/>
      <c r="G153" s="40" t="n"/>
      <c r="H153" s="40" t="n"/>
      <c r="I153" s="44">
        <f>IFERROR(EDATE(F153,H153),"")</f>
        <v/>
      </c>
      <c r="J153" s="47" t="n"/>
      <c r="K153" s="40" t="n"/>
      <c r="L153" s="40" t="n"/>
      <c r="M153" s="40" t="n"/>
      <c r="N153" s="40" t="n"/>
      <c r="O153" s="40">
        <f>IF($B153="","",IFERROR(INDEX('CHUYÊN CẦN'!$C$3:$N$202,MATCH($A153,'CHUYÊN CẦN'!$A$3:$A$202,0),MONTH(TODAY())),0))</f>
        <v/>
      </c>
      <c r="P153" s="44">
        <f>IF($B153="","",IF(SUMPRODUCT(MAX(('NHẬT KÝ CSKH'!$B$3:$B$1000=$A153)*'NHẬT KÝ CSKH'!$A$3:$A$1000))=0,"",SUMPRODUCT(MAX(('NHẬT KÝ CSKH'!$B$3:$B$1000=$A153)*'NHẬT KÝ CSKH'!$A$3:$A$1000))))</f>
        <v/>
      </c>
      <c r="Q153" s="40">
        <f>IF($B153="","",IF($I153="","",$I153-TODAY()))</f>
        <v/>
      </c>
      <c r="R153" s="40">
        <f>IF($B153="","",IF($O153&gt;=3,2,0)+IF($K153="Còn nợ",2,0)+IF(AND($N153="Đang học",$Q153&lt;&gt;"",$Q153&gt;=0,$Q153&lt;=30),1,0)+IF($P153="",1,IF(TODAY()-$P153&gt;60,1,0)))</f>
        <v/>
      </c>
      <c r="S153" s="40">
        <f>IF($B153="","",IF($R153&gt;=3,"CAO",IF($R153&gt;=1,"TRUNG BÌNH","THẤP")))</f>
        <v/>
      </c>
      <c r="T153" s="40" t="n"/>
      <c r="U153" s="40" t="n"/>
      <c r="V153" s="40" t="n"/>
      <c r="W153" s="40" t="n"/>
      <c r="X153" s="40" t="n"/>
      <c r="Y153" s="40" t="n"/>
      <c r="Z153" s="40" t="n"/>
      <c r="AA153" s="40" t="n"/>
      <c r="AB153" s="40" t="n"/>
      <c r="AC153" s="40" t="n"/>
      <c r="AD153" s="40" t="n"/>
      <c r="AE153" s="40" t="n"/>
      <c r="AF153" s="40" t="n"/>
      <c r="AG153" s="40" t="n"/>
      <c r="AH153" s="40" t="n"/>
      <c r="AI153" s="40" t="n"/>
      <c r="AJ153" s="40" t="n"/>
      <c r="AK153" s="40" t="n"/>
      <c r="AL153" s="40" t="n"/>
      <c r="AM153" s="40" t="n"/>
      <c r="AN153" s="40" t="n"/>
      <c r="AO153" s="40" t="n"/>
      <c r="AP153" s="40" t="n"/>
      <c r="AQ153" s="40" t="n"/>
    </row>
    <row r="154">
      <c r="A154" s="40" t="inlineStr">
        <is>
          <t>ORI151</t>
        </is>
      </c>
      <c r="B154" s="46" t="n"/>
      <c r="C154" s="40" t="n"/>
      <c r="D154" s="40" t="n"/>
      <c r="E154" s="40" t="n"/>
      <c r="F154" s="44" t="n"/>
      <c r="G154" s="40" t="n"/>
      <c r="H154" s="40" t="n"/>
      <c r="I154" s="44">
        <f>IFERROR(EDATE(F154,H154),"")</f>
        <v/>
      </c>
      <c r="J154" s="47" t="n"/>
      <c r="K154" s="40" t="n"/>
      <c r="L154" s="40" t="n"/>
      <c r="M154" s="40" t="n"/>
      <c r="N154" s="40" t="n"/>
      <c r="O154" s="40">
        <f>IF($B154="","",IFERROR(INDEX('CHUYÊN CẦN'!$C$3:$N$202,MATCH($A154,'CHUYÊN CẦN'!$A$3:$A$202,0),MONTH(TODAY())),0))</f>
        <v/>
      </c>
      <c r="P154" s="44">
        <f>IF($B154="","",IF(SUMPRODUCT(MAX(('NHẬT KÝ CSKH'!$B$3:$B$1000=$A154)*'NHẬT KÝ CSKH'!$A$3:$A$1000))=0,"",SUMPRODUCT(MAX(('NHẬT KÝ CSKH'!$B$3:$B$1000=$A154)*'NHẬT KÝ CSKH'!$A$3:$A$1000))))</f>
        <v/>
      </c>
      <c r="Q154" s="40">
        <f>IF($B154="","",IF($I154="","",$I154-TODAY()))</f>
        <v/>
      </c>
      <c r="R154" s="40">
        <f>IF($B154="","",IF($O154&gt;=3,2,0)+IF($K154="Còn nợ",2,0)+IF(AND($N154="Đang học",$Q154&lt;&gt;"",$Q154&gt;=0,$Q154&lt;=30),1,0)+IF($P154="",1,IF(TODAY()-$P154&gt;60,1,0)))</f>
        <v/>
      </c>
      <c r="S154" s="40">
        <f>IF($B154="","",IF($R154&gt;=3,"CAO",IF($R154&gt;=1,"TRUNG BÌNH","THẤP")))</f>
        <v/>
      </c>
      <c r="T154" s="40" t="n"/>
      <c r="U154" s="40" t="n"/>
      <c r="V154" s="40" t="n"/>
      <c r="W154" s="40" t="n"/>
      <c r="X154" s="40" t="n"/>
      <c r="Y154" s="40" t="n"/>
      <c r="Z154" s="40" t="n"/>
      <c r="AA154" s="40" t="n"/>
      <c r="AB154" s="40" t="n"/>
      <c r="AC154" s="40" t="n"/>
      <c r="AD154" s="40" t="n"/>
      <c r="AE154" s="40" t="n"/>
      <c r="AF154" s="40" t="n"/>
      <c r="AG154" s="40" t="n"/>
      <c r="AH154" s="40" t="n"/>
      <c r="AI154" s="40" t="n"/>
      <c r="AJ154" s="40" t="n"/>
      <c r="AK154" s="40" t="n"/>
      <c r="AL154" s="40" t="n"/>
      <c r="AM154" s="40" t="n"/>
      <c r="AN154" s="40" t="n"/>
      <c r="AO154" s="40" t="n"/>
      <c r="AP154" s="40" t="n"/>
      <c r="AQ154" s="40" t="n"/>
    </row>
    <row r="155">
      <c r="A155" s="40" t="inlineStr">
        <is>
          <t>ORI152</t>
        </is>
      </c>
      <c r="B155" s="46" t="n"/>
      <c r="C155" s="40" t="n"/>
      <c r="D155" s="40" t="n"/>
      <c r="E155" s="40" t="n"/>
      <c r="F155" s="44" t="n"/>
      <c r="G155" s="40" t="n"/>
      <c r="H155" s="40" t="n"/>
      <c r="I155" s="44">
        <f>IFERROR(EDATE(F155,H155),"")</f>
        <v/>
      </c>
      <c r="J155" s="47" t="n"/>
      <c r="K155" s="40" t="n"/>
      <c r="L155" s="40" t="n"/>
      <c r="M155" s="40" t="n"/>
      <c r="N155" s="40" t="n"/>
      <c r="O155" s="40">
        <f>IF($B155="","",IFERROR(INDEX('CHUYÊN CẦN'!$C$3:$N$202,MATCH($A155,'CHUYÊN CẦN'!$A$3:$A$202,0),MONTH(TODAY())),0))</f>
        <v/>
      </c>
      <c r="P155" s="44">
        <f>IF($B155="","",IF(SUMPRODUCT(MAX(('NHẬT KÝ CSKH'!$B$3:$B$1000=$A155)*'NHẬT KÝ CSKH'!$A$3:$A$1000))=0,"",SUMPRODUCT(MAX(('NHẬT KÝ CSKH'!$B$3:$B$1000=$A155)*'NHẬT KÝ CSKH'!$A$3:$A$1000))))</f>
        <v/>
      </c>
      <c r="Q155" s="40">
        <f>IF($B155="","",IF($I155="","",$I155-TODAY()))</f>
        <v/>
      </c>
      <c r="R155" s="40">
        <f>IF($B155="","",IF($O155&gt;=3,2,0)+IF($K155="Còn nợ",2,0)+IF(AND($N155="Đang học",$Q155&lt;&gt;"",$Q155&gt;=0,$Q155&lt;=30),1,0)+IF($P155="",1,IF(TODAY()-$P155&gt;60,1,0)))</f>
        <v/>
      </c>
      <c r="S155" s="40">
        <f>IF($B155="","",IF($R155&gt;=3,"CAO",IF($R155&gt;=1,"TRUNG BÌNH","THẤP")))</f>
        <v/>
      </c>
      <c r="T155" s="40" t="n"/>
      <c r="U155" s="40" t="n"/>
      <c r="V155" s="40" t="n"/>
      <c r="W155" s="40" t="n"/>
      <c r="X155" s="40" t="n"/>
      <c r="Y155" s="40" t="n"/>
      <c r="Z155" s="40" t="n"/>
      <c r="AA155" s="40" t="n"/>
      <c r="AB155" s="40" t="n"/>
      <c r="AC155" s="40" t="n"/>
      <c r="AD155" s="40" t="n"/>
      <c r="AE155" s="40" t="n"/>
      <c r="AF155" s="40" t="n"/>
      <c r="AG155" s="40" t="n"/>
      <c r="AH155" s="40" t="n"/>
      <c r="AI155" s="40" t="n"/>
      <c r="AJ155" s="40" t="n"/>
      <c r="AK155" s="40" t="n"/>
      <c r="AL155" s="40" t="n"/>
      <c r="AM155" s="40" t="n"/>
      <c r="AN155" s="40" t="n"/>
      <c r="AO155" s="40" t="n"/>
      <c r="AP155" s="40" t="n"/>
      <c r="AQ155" s="40" t="n"/>
    </row>
    <row r="156">
      <c r="A156" s="40" t="inlineStr">
        <is>
          <t>ORI153</t>
        </is>
      </c>
      <c r="B156" s="46" t="n"/>
      <c r="C156" s="40" t="n"/>
      <c r="D156" s="40" t="n"/>
      <c r="E156" s="40" t="n"/>
      <c r="F156" s="44" t="n"/>
      <c r="G156" s="40" t="n"/>
      <c r="H156" s="40" t="n"/>
      <c r="I156" s="44">
        <f>IFERROR(EDATE(F156,H156),"")</f>
        <v/>
      </c>
      <c r="J156" s="47" t="n"/>
      <c r="K156" s="40" t="n"/>
      <c r="L156" s="40" t="n"/>
      <c r="M156" s="40" t="n"/>
      <c r="N156" s="40" t="n"/>
      <c r="O156" s="40">
        <f>IF($B156="","",IFERROR(INDEX('CHUYÊN CẦN'!$C$3:$N$202,MATCH($A156,'CHUYÊN CẦN'!$A$3:$A$202,0),MONTH(TODAY())),0))</f>
        <v/>
      </c>
      <c r="P156" s="44">
        <f>IF($B156="","",IF(SUMPRODUCT(MAX(('NHẬT KÝ CSKH'!$B$3:$B$1000=$A156)*'NHẬT KÝ CSKH'!$A$3:$A$1000))=0,"",SUMPRODUCT(MAX(('NHẬT KÝ CSKH'!$B$3:$B$1000=$A156)*'NHẬT KÝ CSKH'!$A$3:$A$1000))))</f>
        <v/>
      </c>
      <c r="Q156" s="40">
        <f>IF($B156="","",IF($I156="","",$I156-TODAY()))</f>
        <v/>
      </c>
      <c r="R156" s="40">
        <f>IF($B156="","",IF($O156&gt;=3,2,0)+IF($K156="Còn nợ",2,0)+IF(AND($N156="Đang học",$Q156&lt;&gt;"",$Q156&gt;=0,$Q156&lt;=30),1,0)+IF($P156="",1,IF(TODAY()-$P156&gt;60,1,0)))</f>
        <v/>
      </c>
      <c r="S156" s="40">
        <f>IF($B156="","",IF($R156&gt;=3,"CAO",IF($R156&gt;=1,"TRUNG BÌNH","THẤP")))</f>
        <v/>
      </c>
      <c r="T156" s="40" t="n"/>
      <c r="U156" s="40" t="n"/>
      <c r="V156" s="40" t="n"/>
      <c r="W156" s="40" t="n"/>
      <c r="X156" s="40" t="n"/>
      <c r="Y156" s="40" t="n"/>
      <c r="Z156" s="40" t="n"/>
      <c r="AA156" s="40" t="n"/>
      <c r="AB156" s="40" t="n"/>
      <c r="AC156" s="40" t="n"/>
      <c r="AD156" s="40" t="n"/>
      <c r="AE156" s="40" t="n"/>
      <c r="AF156" s="40" t="n"/>
      <c r="AG156" s="40" t="n"/>
      <c r="AH156" s="40" t="n"/>
      <c r="AI156" s="40" t="n"/>
      <c r="AJ156" s="40" t="n"/>
      <c r="AK156" s="40" t="n"/>
      <c r="AL156" s="40" t="n"/>
      <c r="AM156" s="40" t="n"/>
      <c r="AN156" s="40" t="n"/>
      <c r="AO156" s="40" t="n"/>
      <c r="AP156" s="40" t="n"/>
      <c r="AQ156" s="40" t="n"/>
    </row>
    <row r="157">
      <c r="A157" s="40" t="inlineStr">
        <is>
          <t>ORI154</t>
        </is>
      </c>
      <c r="B157" s="46" t="n"/>
      <c r="C157" s="40" t="n"/>
      <c r="D157" s="40" t="n"/>
      <c r="E157" s="40" t="n"/>
      <c r="F157" s="44" t="n"/>
      <c r="G157" s="40" t="n"/>
      <c r="H157" s="40" t="n"/>
      <c r="I157" s="44">
        <f>IFERROR(EDATE(F157,H157),"")</f>
        <v/>
      </c>
      <c r="J157" s="47" t="n"/>
      <c r="K157" s="40" t="n"/>
      <c r="L157" s="40" t="n"/>
      <c r="M157" s="40" t="n"/>
      <c r="N157" s="40" t="n"/>
      <c r="O157" s="40">
        <f>IF($B157="","",IFERROR(INDEX('CHUYÊN CẦN'!$C$3:$N$202,MATCH($A157,'CHUYÊN CẦN'!$A$3:$A$202,0),MONTH(TODAY())),0))</f>
        <v/>
      </c>
      <c r="P157" s="44">
        <f>IF($B157="","",IF(SUMPRODUCT(MAX(('NHẬT KÝ CSKH'!$B$3:$B$1000=$A157)*'NHẬT KÝ CSKH'!$A$3:$A$1000))=0,"",SUMPRODUCT(MAX(('NHẬT KÝ CSKH'!$B$3:$B$1000=$A157)*'NHẬT KÝ CSKH'!$A$3:$A$1000))))</f>
        <v/>
      </c>
      <c r="Q157" s="40">
        <f>IF($B157="","",IF($I157="","",$I157-TODAY()))</f>
        <v/>
      </c>
      <c r="R157" s="40">
        <f>IF($B157="","",IF($O157&gt;=3,2,0)+IF($K157="Còn nợ",2,0)+IF(AND($N157="Đang học",$Q157&lt;&gt;"",$Q157&gt;=0,$Q157&lt;=30),1,0)+IF($P157="",1,IF(TODAY()-$P157&gt;60,1,0)))</f>
        <v/>
      </c>
      <c r="S157" s="40">
        <f>IF($B157="","",IF($R157&gt;=3,"CAO",IF($R157&gt;=1,"TRUNG BÌNH","THẤP")))</f>
        <v/>
      </c>
      <c r="T157" s="40" t="n"/>
      <c r="U157" s="40" t="n"/>
      <c r="V157" s="40" t="n"/>
      <c r="W157" s="40" t="n"/>
      <c r="X157" s="40" t="n"/>
      <c r="Y157" s="40" t="n"/>
      <c r="Z157" s="40" t="n"/>
      <c r="AA157" s="40" t="n"/>
      <c r="AB157" s="40" t="n"/>
      <c r="AC157" s="40" t="n"/>
      <c r="AD157" s="40" t="n"/>
      <c r="AE157" s="40" t="n"/>
      <c r="AF157" s="40" t="n"/>
      <c r="AG157" s="40" t="n"/>
      <c r="AH157" s="40" t="n"/>
      <c r="AI157" s="40" t="n"/>
      <c r="AJ157" s="40" t="n"/>
      <c r="AK157" s="40" t="n"/>
      <c r="AL157" s="40" t="n"/>
      <c r="AM157" s="40" t="n"/>
      <c r="AN157" s="40" t="n"/>
      <c r="AO157" s="40" t="n"/>
      <c r="AP157" s="40" t="n"/>
      <c r="AQ157" s="40" t="n"/>
    </row>
    <row r="158">
      <c r="A158" s="40" t="inlineStr">
        <is>
          <t>ORI155</t>
        </is>
      </c>
      <c r="B158" s="46" t="n"/>
      <c r="C158" s="40" t="n"/>
      <c r="D158" s="40" t="n"/>
      <c r="E158" s="40" t="n"/>
      <c r="F158" s="44" t="n"/>
      <c r="G158" s="40" t="n"/>
      <c r="H158" s="40" t="n"/>
      <c r="I158" s="44">
        <f>IFERROR(EDATE(F158,H158),"")</f>
        <v/>
      </c>
      <c r="J158" s="47" t="n"/>
      <c r="K158" s="40" t="n"/>
      <c r="L158" s="40" t="n"/>
      <c r="M158" s="40" t="n"/>
      <c r="N158" s="40" t="n"/>
      <c r="O158" s="40">
        <f>IF($B158="","",IFERROR(INDEX('CHUYÊN CẦN'!$C$3:$N$202,MATCH($A158,'CHUYÊN CẦN'!$A$3:$A$202,0),MONTH(TODAY())),0))</f>
        <v/>
      </c>
      <c r="P158" s="44">
        <f>IF($B158="","",IF(SUMPRODUCT(MAX(('NHẬT KÝ CSKH'!$B$3:$B$1000=$A158)*'NHẬT KÝ CSKH'!$A$3:$A$1000))=0,"",SUMPRODUCT(MAX(('NHẬT KÝ CSKH'!$B$3:$B$1000=$A158)*'NHẬT KÝ CSKH'!$A$3:$A$1000))))</f>
        <v/>
      </c>
      <c r="Q158" s="40">
        <f>IF($B158="","",IF($I158="","",$I158-TODAY()))</f>
        <v/>
      </c>
      <c r="R158" s="40">
        <f>IF($B158="","",IF($O158&gt;=3,2,0)+IF($K158="Còn nợ",2,0)+IF(AND($N158="Đang học",$Q158&lt;&gt;"",$Q158&gt;=0,$Q158&lt;=30),1,0)+IF($P158="",1,IF(TODAY()-$P158&gt;60,1,0)))</f>
        <v/>
      </c>
      <c r="S158" s="40">
        <f>IF($B158="","",IF($R158&gt;=3,"CAO",IF($R158&gt;=1,"TRUNG BÌNH","THẤP")))</f>
        <v/>
      </c>
      <c r="T158" s="40" t="n"/>
      <c r="U158" s="40" t="n"/>
      <c r="V158" s="40" t="n"/>
      <c r="W158" s="40" t="n"/>
      <c r="X158" s="40" t="n"/>
      <c r="Y158" s="40" t="n"/>
      <c r="Z158" s="40" t="n"/>
      <c r="AA158" s="40" t="n"/>
      <c r="AB158" s="40" t="n"/>
      <c r="AC158" s="40" t="n"/>
      <c r="AD158" s="40" t="n"/>
      <c r="AE158" s="40" t="n"/>
      <c r="AF158" s="40" t="n"/>
      <c r="AG158" s="40" t="n"/>
      <c r="AH158" s="40" t="n"/>
      <c r="AI158" s="40" t="n"/>
      <c r="AJ158" s="40" t="n"/>
      <c r="AK158" s="40" t="n"/>
      <c r="AL158" s="40" t="n"/>
      <c r="AM158" s="40" t="n"/>
      <c r="AN158" s="40" t="n"/>
      <c r="AO158" s="40" t="n"/>
      <c r="AP158" s="40" t="n"/>
      <c r="AQ158" s="40" t="n"/>
    </row>
    <row r="159">
      <c r="A159" s="40" t="inlineStr">
        <is>
          <t>ORI156</t>
        </is>
      </c>
      <c r="B159" s="46" t="n"/>
      <c r="C159" s="40" t="n"/>
      <c r="D159" s="40" t="n"/>
      <c r="E159" s="40" t="n"/>
      <c r="F159" s="44" t="n"/>
      <c r="G159" s="40" t="n"/>
      <c r="H159" s="40" t="n"/>
      <c r="I159" s="44">
        <f>IFERROR(EDATE(F159,H159),"")</f>
        <v/>
      </c>
      <c r="J159" s="47" t="n"/>
      <c r="K159" s="40" t="n"/>
      <c r="L159" s="40" t="n"/>
      <c r="M159" s="40" t="n"/>
      <c r="N159" s="40" t="n"/>
      <c r="O159" s="40">
        <f>IF($B159="","",IFERROR(INDEX('CHUYÊN CẦN'!$C$3:$N$202,MATCH($A159,'CHUYÊN CẦN'!$A$3:$A$202,0),MONTH(TODAY())),0))</f>
        <v/>
      </c>
      <c r="P159" s="44">
        <f>IF($B159="","",IF(SUMPRODUCT(MAX(('NHẬT KÝ CSKH'!$B$3:$B$1000=$A159)*'NHẬT KÝ CSKH'!$A$3:$A$1000))=0,"",SUMPRODUCT(MAX(('NHẬT KÝ CSKH'!$B$3:$B$1000=$A159)*'NHẬT KÝ CSKH'!$A$3:$A$1000))))</f>
        <v/>
      </c>
      <c r="Q159" s="40">
        <f>IF($B159="","",IF($I159="","",$I159-TODAY()))</f>
        <v/>
      </c>
      <c r="R159" s="40">
        <f>IF($B159="","",IF($O159&gt;=3,2,0)+IF($K159="Còn nợ",2,0)+IF(AND($N159="Đang học",$Q159&lt;&gt;"",$Q159&gt;=0,$Q159&lt;=30),1,0)+IF($P159="",1,IF(TODAY()-$P159&gt;60,1,0)))</f>
        <v/>
      </c>
      <c r="S159" s="40">
        <f>IF($B159="","",IF($R159&gt;=3,"CAO",IF($R159&gt;=1,"TRUNG BÌNH","THẤP")))</f>
        <v/>
      </c>
      <c r="T159" s="40" t="n"/>
      <c r="U159" s="40" t="n"/>
      <c r="V159" s="40" t="n"/>
      <c r="W159" s="40" t="n"/>
      <c r="X159" s="40" t="n"/>
      <c r="Y159" s="40" t="n"/>
      <c r="Z159" s="40" t="n"/>
      <c r="AA159" s="40" t="n"/>
      <c r="AB159" s="40" t="n"/>
      <c r="AC159" s="40" t="n"/>
      <c r="AD159" s="40" t="n"/>
      <c r="AE159" s="40" t="n"/>
      <c r="AF159" s="40" t="n"/>
      <c r="AG159" s="40" t="n"/>
      <c r="AH159" s="40" t="n"/>
      <c r="AI159" s="40" t="n"/>
      <c r="AJ159" s="40" t="n"/>
      <c r="AK159" s="40" t="n"/>
      <c r="AL159" s="40" t="n"/>
      <c r="AM159" s="40" t="n"/>
      <c r="AN159" s="40" t="n"/>
      <c r="AO159" s="40" t="n"/>
      <c r="AP159" s="40" t="n"/>
      <c r="AQ159" s="40" t="n"/>
    </row>
    <row r="160">
      <c r="A160" s="40" t="inlineStr">
        <is>
          <t>ORI157</t>
        </is>
      </c>
      <c r="B160" s="46" t="n"/>
      <c r="C160" s="40" t="n"/>
      <c r="D160" s="40" t="n"/>
      <c r="E160" s="40" t="n"/>
      <c r="F160" s="44" t="n"/>
      <c r="G160" s="40" t="n"/>
      <c r="H160" s="40" t="n"/>
      <c r="I160" s="44">
        <f>IFERROR(EDATE(F160,H160),"")</f>
        <v/>
      </c>
      <c r="J160" s="47" t="n"/>
      <c r="K160" s="40" t="n"/>
      <c r="L160" s="40" t="n"/>
      <c r="M160" s="40" t="n"/>
      <c r="N160" s="40" t="n"/>
      <c r="O160" s="40">
        <f>IF($B160="","",IFERROR(INDEX('CHUYÊN CẦN'!$C$3:$N$202,MATCH($A160,'CHUYÊN CẦN'!$A$3:$A$202,0),MONTH(TODAY())),0))</f>
        <v/>
      </c>
      <c r="P160" s="44">
        <f>IF($B160="","",IF(SUMPRODUCT(MAX(('NHẬT KÝ CSKH'!$B$3:$B$1000=$A160)*'NHẬT KÝ CSKH'!$A$3:$A$1000))=0,"",SUMPRODUCT(MAX(('NHẬT KÝ CSKH'!$B$3:$B$1000=$A160)*'NHẬT KÝ CSKH'!$A$3:$A$1000))))</f>
        <v/>
      </c>
      <c r="Q160" s="40">
        <f>IF($B160="","",IF($I160="","",$I160-TODAY()))</f>
        <v/>
      </c>
      <c r="R160" s="40">
        <f>IF($B160="","",IF($O160&gt;=3,2,0)+IF($K160="Còn nợ",2,0)+IF(AND($N160="Đang học",$Q160&lt;&gt;"",$Q160&gt;=0,$Q160&lt;=30),1,0)+IF($P160="",1,IF(TODAY()-$P160&gt;60,1,0)))</f>
        <v/>
      </c>
      <c r="S160" s="40">
        <f>IF($B160="","",IF($R160&gt;=3,"CAO",IF($R160&gt;=1,"TRUNG BÌNH","THẤP")))</f>
        <v/>
      </c>
      <c r="T160" s="40" t="n"/>
      <c r="U160" s="40" t="n"/>
      <c r="V160" s="40" t="n"/>
      <c r="W160" s="40" t="n"/>
      <c r="X160" s="40" t="n"/>
      <c r="Y160" s="40" t="n"/>
      <c r="Z160" s="40" t="n"/>
      <c r="AA160" s="40" t="n"/>
      <c r="AB160" s="40" t="n"/>
      <c r="AC160" s="40" t="n"/>
      <c r="AD160" s="40" t="n"/>
      <c r="AE160" s="40" t="n"/>
      <c r="AF160" s="40" t="n"/>
      <c r="AG160" s="40" t="n"/>
      <c r="AH160" s="40" t="n"/>
      <c r="AI160" s="40" t="n"/>
      <c r="AJ160" s="40" t="n"/>
      <c r="AK160" s="40" t="n"/>
      <c r="AL160" s="40" t="n"/>
      <c r="AM160" s="40" t="n"/>
      <c r="AN160" s="40" t="n"/>
      <c r="AO160" s="40" t="n"/>
      <c r="AP160" s="40" t="n"/>
      <c r="AQ160" s="40" t="n"/>
    </row>
    <row r="161">
      <c r="A161" s="40" t="inlineStr">
        <is>
          <t>ORI158</t>
        </is>
      </c>
      <c r="B161" s="46" t="n"/>
      <c r="C161" s="40" t="n"/>
      <c r="D161" s="40" t="n"/>
      <c r="E161" s="40" t="n"/>
      <c r="F161" s="44" t="n"/>
      <c r="G161" s="40" t="n"/>
      <c r="H161" s="40" t="n"/>
      <c r="I161" s="44">
        <f>IFERROR(EDATE(F161,H161),"")</f>
        <v/>
      </c>
      <c r="J161" s="47" t="n"/>
      <c r="K161" s="40" t="n"/>
      <c r="L161" s="40" t="n"/>
      <c r="M161" s="40" t="n"/>
      <c r="N161" s="40" t="n"/>
      <c r="O161" s="40">
        <f>IF($B161="","",IFERROR(INDEX('CHUYÊN CẦN'!$C$3:$N$202,MATCH($A161,'CHUYÊN CẦN'!$A$3:$A$202,0),MONTH(TODAY())),0))</f>
        <v/>
      </c>
      <c r="P161" s="44">
        <f>IF($B161="","",IF(SUMPRODUCT(MAX(('NHẬT KÝ CSKH'!$B$3:$B$1000=$A161)*'NHẬT KÝ CSKH'!$A$3:$A$1000))=0,"",SUMPRODUCT(MAX(('NHẬT KÝ CSKH'!$B$3:$B$1000=$A161)*'NHẬT KÝ CSKH'!$A$3:$A$1000))))</f>
        <v/>
      </c>
      <c r="Q161" s="40">
        <f>IF($B161="","",IF($I161="","",$I161-TODAY()))</f>
        <v/>
      </c>
      <c r="R161" s="40">
        <f>IF($B161="","",IF($O161&gt;=3,2,0)+IF($K161="Còn nợ",2,0)+IF(AND($N161="Đang học",$Q161&lt;&gt;"",$Q161&gt;=0,$Q161&lt;=30),1,0)+IF($P161="",1,IF(TODAY()-$P161&gt;60,1,0)))</f>
        <v/>
      </c>
      <c r="S161" s="40">
        <f>IF($B161="","",IF($R161&gt;=3,"CAO",IF($R161&gt;=1,"TRUNG BÌNH","THẤP")))</f>
        <v/>
      </c>
      <c r="T161" s="40" t="n"/>
      <c r="U161" s="40" t="n"/>
      <c r="V161" s="40" t="n"/>
      <c r="W161" s="40" t="n"/>
      <c r="X161" s="40" t="n"/>
      <c r="Y161" s="40" t="n"/>
      <c r="Z161" s="40" t="n"/>
      <c r="AA161" s="40" t="n"/>
      <c r="AB161" s="40" t="n"/>
      <c r="AC161" s="40" t="n"/>
      <c r="AD161" s="40" t="n"/>
      <c r="AE161" s="40" t="n"/>
      <c r="AF161" s="40" t="n"/>
      <c r="AG161" s="40" t="n"/>
      <c r="AH161" s="40" t="n"/>
      <c r="AI161" s="40" t="n"/>
      <c r="AJ161" s="40" t="n"/>
      <c r="AK161" s="40" t="n"/>
      <c r="AL161" s="40" t="n"/>
      <c r="AM161" s="40" t="n"/>
      <c r="AN161" s="40" t="n"/>
      <c r="AO161" s="40" t="n"/>
      <c r="AP161" s="40" t="n"/>
      <c r="AQ161" s="40" t="n"/>
    </row>
    <row r="162">
      <c r="A162" s="40" t="inlineStr">
        <is>
          <t>ORI159</t>
        </is>
      </c>
      <c r="B162" s="46" t="n"/>
      <c r="C162" s="40" t="n"/>
      <c r="D162" s="40" t="n"/>
      <c r="E162" s="40" t="n"/>
      <c r="F162" s="44" t="n"/>
      <c r="G162" s="40" t="n"/>
      <c r="H162" s="40" t="n"/>
      <c r="I162" s="44">
        <f>IFERROR(EDATE(F162,H162),"")</f>
        <v/>
      </c>
      <c r="J162" s="47" t="n"/>
      <c r="K162" s="40" t="n"/>
      <c r="L162" s="40" t="n"/>
      <c r="M162" s="40" t="n"/>
      <c r="N162" s="40" t="n"/>
      <c r="O162" s="40">
        <f>IF($B162="","",IFERROR(INDEX('CHUYÊN CẦN'!$C$3:$N$202,MATCH($A162,'CHUYÊN CẦN'!$A$3:$A$202,0),MONTH(TODAY())),0))</f>
        <v/>
      </c>
      <c r="P162" s="44">
        <f>IF($B162="","",IF(SUMPRODUCT(MAX(('NHẬT KÝ CSKH'!$B$3:$B$1000=$A162)*'NHẬT KÝ CSKH'!$A$3:$A$1000))=0,"",SUMPRODUCT(MAX(('NHẬT KÝ CSKH'!$B$3:$B$1000=$A162)*'NHẬT KÝ CSKH'!$A$3:$A$1000))))</f>
        <v/>
      </c>
      <c r="Q162" s="40">
        <f>IF($B162="","",IF($I162="","",$I162-TODAY()))</f>
        <v/>
      </c>
      <c r="R162" s="40">
        <f>IF($B162="","",IF($O162&gt;=3,2,0)+IF($K162="Còn nợ",2,0)+IF(AND($N162="Đang học",$Q162&lt;&gt;"",$Q162&gt;=0,$Q162&lt;=30),1,0)+IF($P162="",1,IF(TODAY()-$P162&gt;60,1,0)))</f>
        <v/>
      </c>
      <c r="S162" s="40">
        <f>IF($B162="","",IF($R162&gt;=3,"CAO",IF($R162&gt;=1,"TRUNG BÌNH","THẤP")))</f>
        <v/>
      </c>
      <c r="T162" s="40" t="n"/>
      <c r="U162" s="40" t="n"/>
      <c r="V162" s="40" t="n"/>
      <c r="W162" s="40" t="n"/>
      <c r="X162" s="40" t="n"/>
      <c r="Y162" s="40" t="n"/>
      <c r="Z162" s="40" t="n"/>
      <c r="AA162" s="40" t="n"/>
      <c r="AB162" s="40" t="n"/>
      <c r="AC162" s="40" t="n"/>
      <c r="AD162" s="40" t="n"/>
      <c r="AE162" s="40" t="n"/>
      <c r="AF162" s="40" t="n"/>
      <c r="AG162" s="40" t="n"/>
      <c r="AH162" s="40" t="n"/>
      <c r="AI162" s="40" t="n"/>
      <c r="AJ162" s="40" t="n"/>
      <c r="AK162" s="40" t="n"/>
      <c r="AL162" s="40" t="n"/>
      <c r="AM162" s="40" t="n"/>
      <c r="AN162" s="40" t="n"/>
      <c r="AO162" s="40" t="n"/>
      <c r="AP162" s="40" t="n"/>
      <c r="AQ162" s="40" t="n"/>
    </row>
    <row r="163">
      <c r="A163" s="40" t="inlineStr">
        <is>
          <t>ORI160</t>
        </is>
      </c>
      <c r="B163" s="46" t="n"/>
      <c r="C163" s="40" t="n"/>
      <c r="D163" s="40" t="n"/>
      <c r="E163" s="40" t="n"/>
      <c r="F163" s="44" t="n"/>
      <c r="G163" s="40" t="n"/>
      <c r="H163" s="40" t="n"/>
      <c r="I163" s="44">
        <f>IFERROR(EDATE(F163,H163),"")</f>
        <v/>
      </c>
      <c r="J163" s="47" t="n"/>
      <c r="K163" s="40" t="n"/>
      <c r="L163" s="40" t="n"/>
      <c r="M163" s="40" t="n"/>
      <c r="N163" s="40" t="n"/>
      <c r="O163" s="40">
        <f>IF($B163="","",IFERROR(INDEX('CHUYÊN CẦN'!$C$3:$N$202,MATCH($A163,'CHUYÊN CẦN'!$A$3:$A$202,0),MONTH(TODAY())),0))</f>
        <v/>
      </c>
      <c r="P163" s="44">
        <f>IF($B163="","",IF(SUMPRODUCT(MAX(('NHẬT KÝ CSKH'!$B$3:$B$1000=$A163)*'NHẬT KÝ CSKH'!$A$3:$A$1000))=0,"",SUMPRODUCT(MAX(('NHẬT KÝ CSKH'!$B$3:$B$1000=$A163)*'NHẬT KÝ CSKH'!$A$3:$A$1000))))</f>
        <v/>
      </c>
      <c r="Q163" s="40">
        <f>IF($B163="","",IF($I163="","",$I163-TODAY()))</f>
        <v/>
      </c>
      <c r="R163" s="40">
        <f>IF($B163="","",IF($O163&gt;=3,2,0)+IF($K163="Còn nợ",2,0)+IF(AND($N163="Đang học",$Q163&lt;&gt;"",$Q163&gt;=0,$Q163&lt;=30),1,0)+IF($P163="",1,IF(TODAY()-$P163&gt;60,1,0)))</f>
        <v/>
      </c>
      <c r="S163" s="40">
        <f>IF($B163="","",IF($R163&gt;=3,"CAO",IF($R163&gt;=1,"TRUNG BÌNH","THẤP")))</f>
        <v/>
      </c>
      <c r="T163" s="40" t="n"/>
      <c r="U163" s="40" t="n"/>
      <c r="V163" s="40" t="n"/>
      <c r="W163" s="40" t="n"/>
      <c r="X163" s="40" t="n"/>
      <c r="Y163" s="40" t="n"/>
      <c r="Z163" s="40" t="n"/>
      <c r="AA163" s="40" t="n"/>
      <c r="AB163" s="40" t="n"/>
      <c r="AC163" s="40" t="n"/>
      <c r="AD163" s="40" t="n"/>
      <c r="AE163" s="40" t="n"/>
      <c r="AF163" s="40" t="n"/>
      <c r="AG163" s="40" t="n"/>
      <c r="AH163" s="40" t="n"/>
      <c r="AI163" s="40" t="n"/>
      <c r="AJ163" s="40" t="n"/>
      <c r="AK163" s="40" t="n"/>
      <c r="AL163" s="40" t="n"/>
      <c r="AM163" s="40" t="n"/>
      <c r="AN163" s="40" t="n"/>
      <c r="AO163" s="40" t="n"/>
      <c r="AP163" s="40" t="n"/>
      <c r="AQ163" s="40" t="n"/>
    </row>
    <row r="164">
      <c r="A164" s="40" t="inlineStr">
        <is>
          <t>ORI161</t>
        </is>
      </c>
      <c r="B164" s="46" t="n"/>
      <c r="C164" s="40" t="n"/>
      <c r="D164" s="40" t="n"/>
      <c r="E164" s="40" t="n"/>
      <c r="F164" s="44" t="n"/>
      <c r="G164" s="40" t="n"/>
      <c r="H164" s="40" t="n"/>
      <c r="I164" s="44">
        <f>IFERROR(EDATE(F164,H164),"")</f>
        <v/>
      </c>
      <c r="J164" s="47" t="n"/>
      <c r="K164" s="40" t="n"/>
      <c r="L164" s="40" t="n"/>
      <c r="M164" s="40" t="n"/>
      <c r="N164" s="40" t="n"/>
      <c r="O164" s="40">
        <f>IF($B164="","",IFERROR(INDEX('CHUYÊN CẦN'!$C$3:$N$202,MATCH($A164,'CHUYÊN CẦN'!$A$3:$A$202,0),MONTH(TODAY())),0))</f>
        <v/>
      </c>
      <c r="P164" s="44">
        <f>IF($B164="","",IF(SUMPRODUCT(MAX(('NHẬT KÝ CSKH'!$B$3:$B$1000=$A164)*'NHẬT KÝ CSKH'!$A$3:$A$1000))=0,"",SUMPRODUCT(MAX(('NHẬT KÝ CSKH'!$B$3:$B$1000=$A164)*'NHẬT KÝ CSKH'!$A$3:$A$1000))))</f>
        <v/>
      </c>
      <c r="Q164" s="40">
        <f>IF($B164="","",IF($I164="","",$I164-TODAY()))</f>
        <v/>
      </c>
      <c r="R164" s="40">
        <f>IF($B164="","",IF($O164&gt;=3,2,0)+IF($K164="Còn nợ",2,0)+IF(AND($N164="Đang học",$Q164&lt;&gt;"",$Q164&gt;=0,$Q164&lt;=30),1,0)+IF($P164="",1,IF(TODAY()-$P164&gt;60,1,0)))</f>
        <v/>
      </c>
      <c r="S164" s="40">
        <f>IF($B164="","",IF($R164&gt;=3,"CAO",IF($R164&gt;=1,"TRUNG BÌNH","THẤP")))</f>
        <v/>
      </c>
      <c r="T164" s="40" t="n"/>
      <c r="U164" s="40" t="n"/>
      <c r="V164" s="40" t="n"/>
      <c r="W164" s="40" t="n"/>
      <c r="X164" s="40" t="n"/>
      <c r="Y164" s="40" t="n"/>
      <c r="Z164" s="40" t="n"/>
      <c r="AA164" s="40" t="n"/>
      <c r="AB164" s="40" t="n"/>
      <c r="AC164" s="40" t="n"/>
      <c r="AD164" s="40" t="n"/>
      <c r="AE164" s="40" t="n"/>
      <c r="AF164" s="40" t="n"/>
      <c r="AG164" s="40" t="n"/>
      <c r="AH164" s="40" t="n"/>
      <c r="AI164" s="40" t="n"/>
      <c r="AJ164" s="40" t="n"/>
      <c r="AK164" s="40" t="n"/>
      <c r="AL164" s="40" t="n"/>
      <c r="AM164" s="40" t="n"/>
      <c r="AN164" s="40" t="n"/>
      <c r="AO164" s="40" t="n"/>
      <c r="AP164" s="40" t="n"/>
      <c r="AQ164" s="40" t="n"/>
    </row>
    <row r="165">
      <c r="A165" s="40" t="inlineStr">
        <is>
          <t>ORI162</t>
        </is>
      </c>
      <c r="B165" s="46" t="n"/>
      <c r="C165" s="40" t="n"/>
      <c r="D165" s="40" t="n"/>
      <c r="E165" s="40" t="n"/>
      <c r="F165" s="44" t="n"/>
      <c r="G165" s="40" t="n"/>
      <c r="H165" s="40" t="n"/>
      <c r="I165" s="44">
        <f>IFERROR(EDATE(F165,H165),"")</f>
        <v/>
      </c>
      <c r="J165" s="47" t="n"/>
      <c r="K165" s="40" t="n"/>
      <c r="L165" s="40" t="n"/>
      <c r="M165" s="40" t="n"/>
      <c r="N165" s="40" t="n"/>
      <c r="O165" s="40">
        <f>IF($B165="","",IFERROR(INDEX('CHUYÊN CẦN'!$C$3:$N$202,MATCH($A165,'CHUYÊN CẦN'!$A$3:$A$202,0),MONTH(TODAY())),0))</f>
        <v/>
      </c>
      <c r="P165" s="44">
        <f>IF($B165="","",IF(SUMPRODUCT(MAX(('NHẬT KÝ CSKH'!$B$3:$B$1000=$A165)*'NHẬT KÝ CSKH'!$A$3:$A$1000))=0,"",SUMPRODUCT(MAX(('NHẬT KÝ CSKH'!$B$3:$B$1000=$A165)*'NHẬT KÝ CSKH'!$A$3:$A$1000))))</f>
        <v/>
      </c>
      <c r="Q165" s="40">
        <f>IF($B165="","",IF($I165="","",$I165-TODAY()))</f>
        <v/>
      </c>
      <c r="R165" s="40">
        <f>IF($B165="","",IF($O165&gt;=3,2,0)+IF($K165="Còn nợ",2,0)+IF(AND($N165="Đang học",$Q165&lt;&gt;"",$Q165&gt;=0,$Q165&lt;=30),1,0)+IF($P165="",1,IF(TODAY()-$P165&gt;60,1,0)))</f>
        <v/>
      </c>
      <c r="S165" s="40">
        <f>IF($B165="","",IF($R165&gt;=3,"CAO",IF($R165&gt;=1,"TRUNG BÌNH","THẤP")))</f>
        <v/>
      </c>
      <c r="T165" s="40" t="n"/>
      <c r="U165" s="40" t="n"/>
      <c r="V165" s="40" t="n"/>
      <c r="W165" s="40" t="n"/>
      <c r="X165" s="40" t="n"/>
      <c r="Y165" s="40" t="n"/>
      <c r="Z165" s="40" t="n"/>
      <c r="AA165" s="40" t="n"/>
      <c r="AB165" s="40" t="n"/>
      <c r="AC165" s="40" t="n"/>
      <c r="AD165" s="40" t="n"/>
      <c r="AE165" s="40" t="n"/>
      <c r="AF165" s="40" t="n"/>
      <c r="AG165" s="40" t="n"/>
      <c r="AH165" s="40" t="n"/>
      <c r="AI165" s="40" t="n"/>
      <c r="AJ165" s="40" t="n"/>
      <c r="AK165" s="40" t="n"/>
      <c r="AL165" s="40" t="n"/>
      <c r="AM165" s="40" t="n"/>
      <c r="AN165" s="40" t="n"/>
      <c r="AO165" s="40" t="n"/>
      <c r="AP165" s="40" t="n"/>
      <c r="AQ165" s="40" t="n"/>
    </row>
    <row r="166">
      <c r="A166" s="40" t="inlineStr">
        <is>
          <t>ORI163</t>
        </is>
      </c>
      <c r="B166" s="46" t="n"/>
      <c r="C166" s="40" t="n"/>
      <c r="D166" s="40" t="n"/>
      <c r="E166" s="40" t="n"/>
      <c r="F166" s="44" t="n"/>
      <c r="G166" s="40" t="n"/>
      <c r="H166" s="40" t="n"/>
      <c r="I166" s="44">
        <f>IFERROR(EDATE(F166,H166),"")</f>
        <v/>
      </c>
      <c r="J166" s="47" t="n"/>
      <c r="K166" s="40" t="n"/>
      <c r="L166" s="40" t="n"/>
      <c r="M166" s="40" t="n"/>
      <c r="N166" s="40" t="n"/>
      <c r="O166" s="40">
        <f>IF($B166="","",IFERROR(INDEX('CHUYÊN CẦN'!$C$3:$N$202,MATCH($A166,'CHUYÊN CẦN'!$A$3:$A$202,0),MONTH(TODAY())),0))</f>
        <v/>
      </c>
      <c r="P166" s="44">
        <f>IF($B166="","",IF(SUMPRODUCT(MAX(('NHẬT KÝ CSKH'!$B$3:$B$1000=$A166)*'NHẬT KÝ CSKH'!$A$3:$A$1000))=0,"",SUMPRODUCT(MAX(('NHẬT KÝ CSKH'!$B$3:$B$1000=$A166)*'NHẬT KÝ CSKH'!$A$3:$A$1000))))</f>
        <v/>
      </c>
      <c r="Q166" s="40">
        <f>IF($B166="","",IF($I166="","",$I166-TODAY()))</f>
        <v/>
      </c>
      <c r="R166" s="40">
        <f>IF($B166="","",IF($O166&gt;=3,2,0)+IF($K166="Còn nợ",2,0)+IF(AND($N166="Đang học",$Q166&lt;&gt;"",$Q166&gt;=0,$Q166&lt;=30),1,0)+IF($P166="",1,IF(TODAY()-$P166&gt;60,1,0)))</f>
        <v/>
      </c>
      <c r="S166" s="40">
        <f>IF($B166="","",IF($R166&gt;=3,"CAO",IF($R166&gt;=1,"TRUNG BÌNH","THẤP")))</f>
        <v/>
      </c>
      <c r="T166" s="40" t="n"/>
      <c r="U166" s="40" t="n"/>
      <c r="V166" s="40" t="n"/>
      <c r="W166" s="40" t="n"/>
      <c r="X166" s="40" t="n"/>
      <c r="Y166" s="40" t="n"/>
      <c r="Z166" s="40" t="n"/>
      <c r="AA166" s="40" t="n"/>
      <c r="AB166" s="40" t="n"/>
      <c r="AC166" s="40" t="n"/>
      <c r="AD166" s="40" t="n"/>
      <c r="AE166" s="40" t="n"/>
      <c r="AF166" s="40" t="n"/>
      <c r="AG166" s="40" t="n"/>
      <c r="AH166" s="40" t="n"/>
      <c r="AI166" s="40" t="n"/>
      <c r="AJ166" s="40" t="n"/>
      <c r="AK166" s="40" t="n"/>
      <c r="AL166" s="40" t="n"/>
      <c r="AM166" s="40" t="n"/>
      <c r="AN166" s="40" t="n"/>
      <c r="AO166" s="40" t="n"/>
      <c r="AP166" s="40" t="n"/>
      <c r="AQ166" s="40" t="n"/>
    </row>
    <row r="167">
      <c r="A167" s="40" t="inlineStr">
        <is>
          <t>ORI164</t>
        </is>
      </c>
      <c r="B167" s="46" t="n"/>
      <c r="C167" s="40" t="n"/>
      <c r="D167" s="40" t="n"/>
      <c r="E167" s="40" t="n"/>
      <c r="F167" s="44" t="n"/>
      <c r="G167" s="40" t="n"/>
      <c r="H167" s="40" t="n"/>
      <c r="I167" s="44">
        <f>IFERROR(EDATE(F167,H167),"")</f>
        <v/>
      </c>
      <c r="J167" s="47" t="n"/>
      <c r="K167" s="40" t="n"/>
      <c r="L167" s="40" t="n"/>
      <c r="M167" s="40" t="n"/>
      <c r="N167" s="40" t="n"/>
      <c r="O167" s="40">
        <f>IF($B167="","",IFERROR(INDEX('CHUYÊN CẦN'!$C$3:$N$202,MATCH($A167,'CHUYÊN CẦN'!$A$3:$A$202,0),MONTH(TODAY())),0))</f>
        <v/>
      </c>
      <c r="P167" s="44">
        <f>IF($B167="","",IF(SUMPRODUCT(MAX(('NHẬT KÝ CSKH'!$B$3:$B$1000=$A167)*'NHẬT KÝ CSKH'!$A$3:$A$1000))=0,"",SUMPRODUCT(MAX(('NHẬT KÝ CSKH'!$B$3:$B$1000=$A167)*'NHẬT KÝ CSKH'!$A$3:$A$1000))))</f>
        <v/>
      </c>
      <c r="Q167" s="40">
        <f>IF($B167="","",IF($I167="","",$I167-TODAY()))</f>
        <v/>
      </c>
      <c r="R167" s="40">
        <f>IF($B167="","",IF($O167&gt;=3,2,0)+IF($K167="Còn nợ",2,0)+IF(AND($N167="Đang học",$Q167&lt;&gt;"",$Q167&gt;=0,$Q167&lt;=30),1,0)+IF($P167="",1,IF(TODAY()-$P167&gt;60,1,0)))</f>
        <v/>
      </c>
      <c r="S167" s="40">
        <f>IF($B167="","",IF($R167&gt;=3,"CAO",IF($R167&gt;=1,"TRUNG BÌNH","THẤP")))</f>
        <v/>
      </c>
      <c r="T167" s="40" t="n"/>
      <c r="U167" s="40" t="n"/>
      <c r="V167" s="40" t="n"/>
      <c r="W167" s="40" t="n"/>
      <c r="X167" s="40" t="n"/>
      <c r="Y167" s="40" t="n"/>
      <c r="Z167" s="40" t="n"/>
      <c r="AA167" s="40" t="n"/>
      <c r="AB167" s="40" t="n"/>
      <c r="AC167" s="40" t="n"/>
      <c r="AD167" s="40" t="n"/>
      <c r="AE167" s="40" t="n"/>
      <c r="AF167" s="40" t="n"/>
      <c r="AG167" s="40" t="n"/>
      <c r="AH167" s="40" t="n"/>
      <c r="AI167" s="40" t="n"/>
      <c r="AJ167" s="40" t="n"/>
      <c r="AK167" s="40" t="n"/>
      <c r="AL167" s="40" t="n"/>
      <c r="AM167" s="40" t="n"/>
      <c r="AN167" s="40" t="n"/>
      <c r="AO167" s="40" t="n"/>
      <c r="AP167" s="40" t="n"/>
      <c r="AQ167" s="40" t="n"/>
    </row>
    <row r="168">
      <c r="A168" s="40" t="inlineStr">
        <is>
          <t>ORI165</t>
        </is>
      </c>
      <c r="B168" s="46" t="n"/>
      <c r="C168" s="40" t="n"/>
      <c r="D168" s="40" t="n"/>
      <c r="E168" s="40" t="n"/>
      <c r="F168" s="44" t="n"/>
      <c r="G168" s="40" t="n"/>
      <c r="H168" s="40" t="n"/>
      <c r="I168" s="44">
        <f>IFERROR(EDATE(F168,H168),"")</f>
        <v/>
      </c>
      <c r="J168" s="47" t="n"/>
      <c r="K168" s="40" t="n"/>
      <c r="L168" s="40" t="n"/>
      <c r="M168" s="40" t="n"/>
      <c r="N168" s="40" t="n"/>
      <c r="O168" s="40">
        <f>IF($B168="","",IFERROR(INDEX('CHUYÊN CẦN'!$C$3:$N$202,MATCH($A168,'CHUYÊN CẦN'!$A$3:$A$202,0),MONTH(TODAY())),0))</f>
        <v/>
      </c>
      <c r="P168" s="44">
        <f>IF($B168="","",IF(SUMPRODUCT(MAX(('NHẬT KÝ CSKH'!$B$3:$B$1000=$A168)*'NHẬT KÝ CSKH'!$A$3:$A$1000))=0,"",SUMPRODUCT(MAX(('NHẬT KÝ CSKH'!$B$3:$B$1000=$A168)*'NHẬT KÝ CSKH'!$A$3:$A$1000))))</f>
        <v/>
      </c>
      <c r="Q168" s="40">
        <f>IF($B168="","",IF($I168="","",$I168-TODAY()))</f>
        <v/>
      </c>
      <c r="R168" s="40">
        <f>IF($B168="","",IF($O168&gt;=3,2,0)+IF($K168="Còn nợ",2,0)+IF(AND($N168="Đang học",$Q168&lt;&gt;"",$Q168&gt;=0,$Q168&lt;=30),1,0)+IF($P168="",1,IF(TODAY()-$P168&gt;60,1,0)))</f>
        <v/>
      </c>
      <c r="S168" s="40">
        <f>IF($B168="","",IF($R168&gt;=3,"CAO",IF($R168&gt;=1,"TRUNG BÌNH","THẤP")))</f>
        <v/>
      </c>
      <c r="T168" s="40" t="n"/>
      <c r="U168" s="40" t="n"/>
      <c r="V168" s="40" t="n"/>
      <c r="W168" s="40" t="n"/>
      <c r="X168" s="40" t="n"/>
      <c r="Y168" s="40" t="n"/>
      <c r="Z168" s="40" t="n"/>
      <c r="AA168" s="40" t="n"/>
      <c r="AB168" s="40" t="n"/>
      <c r="AC168" s="40" t="n"/>
      <c r="AD168" s="40" t="n"/>
      <c r="AE168" s="40" t="n"/>
      <c r="AF168" s="40" t="n"/>
      <c r="AG168" s="40" t="n"/>
      <c r="AH168" s="40" t="n"/>
      <c r="AI168" s="40" t="n"/>
      <c r="AJ168" s="40" t="n"/>
      <c r="AK168" s="40" t="n"/>
      <c r="AL168" s="40" t="n"/>
      <c r="AM168" s="40" t="n"/>
      <c r="AN168" s="40" t="n"/>
      <c r="AO168" s="40" t="n"/>
      <c r="AP168" s="40" t="n"/>
      <c r="AQ168" s="40" t="n"/>
    </row>
    <row r="169">
      <c r="A169" s="40" t="inlineStr">
        <is>
          <t>ORI166</t>
        </is>
      </c>
      <c r="B169" s="46" t="n"/>
      <c r="C169" s="40" t="n"/>
      <c r="D169" s="40" t="n"/>
      <c r="E169" s="40" t="n"/>
      <c r="F169" s="44" t="n"/>
      <c r="G169" s="40" t="n"/>
      <c r="H169" s="40" t="n"/>
      <c r="I169" s="44">
        <f>IFERROR(EDATE(F169,H169),"")</f>
        <v/>
      </c>
      <c r="J169" s="47" t="n"/>
      <c r="K169" s="40" t="n"/>
      <c r="L169" s="40" t="n"/>
      <c r="M169" s="40" t="n"/>
      <c r="N169" s="40" t="n"/>
      <c r="O169" s="40">
        <f>IF($B169="","",IFERROR(INDEX('CHUYÊN CẦN'!$C$3:$N$202,MATCH($A169,'CHUYÊN CẦN'!$A$3:$A$202,0),MONTH(TODAY())),0))</f>
        <v/>
      </c>
      <c r="P169" s="44">
        <f>IF($B169="","",IF(SUMPRODUCT(MAX(('NHẬT KÝ CSKH'!$B$3:$B$1000=$A169)*'NHẬT KÝ CSKH'!$A$3:$A$1000))=0,"",SUMPRODUCT(MAX(('NHẬT KÝ CSKH'!$B$3:$B$1000=$A169)*'NHẬT KÝ CSKH'!$A$3:$A$1000))))</f>
        <v/>
      </c>
      <c r="Q169" s="40">
        <f>IF($B169="","",IF($I169="","",$I169-TODAY()))</f>
        <v/>
      </c>
      <c r="R169" s="40">
        <f>IF($B169="","",IF($O169&gt;=3,2,0)+IF($K169="Còn nợ",2,0)+IF(AND($N169="Đang học",$Q169&lt;&gt;"",$Q169&gt;=0,$Q169&lt;=30),1,0)+IF($P169="",1,IF(TODAY()-$P169&gt;60,1,0)))</f>
        <v/>
      </c>
      <c r="S169" s="40">
        <f>IF($B169="","",IF($R169&gt;=3,"CAO",IF($R169&gt;=1,"TRUNG BÌNH","THẤP")))</f>
        <v/>
      </c>
      <c r="T169" s="40" t="n"/>
      <c r="U169" s="40" t="n"/>
      <c r="V169" s="40" t="n"/>
      <c r="W169" s="40" t="n"/>
      <c r="X169" s="40" t="n"/>
      <c r="Y169" s="40" t="n"/>
      <c r="Z169" s="40" t="n"/>
      <c r="AA169" s="40" t="n"/>
      <c r="AB169" s="40" t="n"/>
      <c r="AC169" s="40" t="n"/>
      <c r="AD169" s="40" t="n"/>
      <c r="AE169" s="40" t="n"/>
      <c r="AF169" s="40" t="n"/>
      <c r="AG169" s="40" t="n"/>
      <c r="AH169" s="40" t="n"/>
      <c r="AI169" s="40" t="n"/>
      <c r="AJ169" s="40" t="n"/>
      <c r="AK169" s="40" t="n"/>
      <c r="AL169" s="40" t="n"/>
      <c r="AM169" s="40" t="n"/>
      <c r="AN169" s="40" t="n"/>
      <c r="AO169" s="40" t="n"/>
      <c r="AP169" s="40" t="n"/>
      <c r="AQ169" s="40" t="n"/>
    </row>
    <row r="170">
      <c r="A170" s="40" t="inlineStr">
        <is>
          <t>ORI167</t>
        </is>
      </c>
      <c r="B170" s="46" t="n"/>
      <c r="C170" s="40" t="n"/>
      <c r="D170" s="40" t="n"/>
      <c r="E170" s="40" t="n"/>
      <c r="F170" s="44" t="n"/>
      <c r="G170" s="40" t="n"/>
      <c r="H170" s="40" t="n"/>
      <c r="I170" s="44">
        <f>IFERROR(EDATE(F170,H170),"")</f>
        <v/>
      </c>
      <c r="J170" s="47" t="n"/>
      <c r="K170" s="40" t="n"/>
      <c r="L170" s="40" t="n"/>
      <c r="M170" s="40" t="n"/>
      <c r="N170" s="40" t="n"/>
      <c r="O170" s="40">
        <f>IF($B170="","",IFERROR(INDEX('CHUYÊN CẦN'!$C$3:$N$202,MATCH($A170,'CHUYÊN CẦN'!$A$3:$A$202,0),MONTH(TODAY())),0))</f>
        <v/>
      </c>
      <c r="P170" s="44">
        <f>IF($B170="","",IF(SUMPRODUCT(MAX(('NHẬT KÝ CSKH'!$B$3:$B$1000=$A170)*'NHẬT KÝ CSKH'!$A$3:$A$1000))=0,"",SUMPRODUCT(MAX(('NHẬT KÝ CSKH'!$B$3:$B$1000=$A170)*'NHẬT KÝ CSKH'!$A$3:$A$1000))))</f>
        <v/>
      </c>
      <c r="Q170" s="40">
        <f>IF($B170="","",IF($I170="","",$I170-TODAY()))</f>
        <v/>
      </c>
      <c r="R170" s="40">
        <f>IF($B170="","",IF($O170&gt;=3,2,0)+IF($K170="Còn nợ",2,0)+IF(AND($N170="Đang học",$Q170&lt;&gt;"",$Q170&gt;=0,$Q170&lt;=30),1,0)+IF($P170="",1,IF(TODAY()-$P170&gt;60,1,0)))</f>
        <v/>
      </c>
      <c r="S170" s="40">
        <f>IF($B170="","",IF($R170&gt;=3,"CAO",IF($R170&gt;=1,"TRUNG BÌNH","THẤP")))</f>
        <v/>
      </c>
      <c r="T170" s="40" t="n"/>
      <c r="U170" s="40" t="n"/>
      <c r="V170" s="40" t="n"/>
      <c r="W170" s="40" t="n"/>
      <c r="X170" s="40" t="n"/>
      <c r="Y170" s="40" t="n"/>
      <c r="Z170" s="40" t="n"/>
      <c r="AA170" s="40" t="n"/>
      <c r="AB170" s="40" t="n"/>
      <c r="AC170" s="40" t="n"/>
      <c r="AD170" s="40" t="n"/>
      <c r="AE170" s="40" t="n"/>
      <c r="AF170" s="40" t="n"/>
      <c r="AG170" s="40" t="n"/>
      <c r="AH170" s="40" t="n"/>
      <c r="AI170" s="40" t="n"/>
      <c r="AJ170" s="40" t="n"/>
      <c r="AK170" s="40" t="n"/>
      <c r="AL170" s="40" t="n"/>
      <c r="AM170" s="40" t="n"/>
      <c r="AN170" s="40" t="n"/>
      <c r="AO170" s="40" t="n"/>
      <c r="AP170" s="40" t="n"/>
      <c r="AQ170" s="40" t="n"/>
    </row>
    <row r="171">
      <c r="A171" s="40" t="inlineStr">
        <is>
          <t>ORI168</t>
        </is>
      </c>
      <c r="B171" s="46" t="n"/>
      <c r="C171" s="40" t="n"/>
      <c r="D171" s="40" t="n"/>
      <c r="E171" s="40" t="n"/>
      <c r="F171" s="44" t="n"/>
      <c r="G171" s="40" t="n"/>
      <c r="H171" s="40" t="n"/>
      <c r="I171" s="44">
        <f>IFERROR(EDATE(F171,H171),"")</f>
        <v/>
      </c>
      <c r="J171" s="47" t="n"/>
      <c r="K171" s="40" t="n"/>
      <c r="L171" s="40" t="n"/>
      <c r="M171" s="40" t="n"/>
      <c r="N171" s="40" t="n"/>
      <c r="O171" s="40">
        <f>IF($B171="","",IFERROR(INDEX('CHUYÊN CẦN'!$C$3:$N$202,MATCH($A171,'CHUYÊN CẦN'!$A$3:$A$202,0),MONTH(TODAY())),0))</f>
        <v/>
      </c>
      <c r="P171" s="44">
        <f>IF($B171="","",IF(SUMPRODUCT(MAX(('NHẬT KÝ CSKH'!$B$3:$B$1000=$A171)*'NHẬT KÝ CSKH'!$A$3:$A$1000))=0,"",SUMPRODUCT(MAX(('NHẬT KÝ CSKH'!$B$3:$B$1000=$A171)*'NHẬT KÝ CSKH'!$A$3:$A$1000))))</f>
        <v/>
      </c>
      <c r="Q171" s="40">
        <f>IF($B171="","",IF($I171="","",$I171-TODAY()))</f>
        <v/>
      </c>
      <c r="R171" s="40">
        <f>IF($B171="","",IF($O171&gt;=3,2,0)+IF($K171="Còn nợ",2,0)+IF(AND($N171="Đang học",$Q171&lt;&gt;"",$Q171&gt;=0,$Q171&lt;=30),1,0)+IF($P171="",1,IF(TODAY()-$P171&gt;60,1,0)))</f>
        <v/>
      </c>
      <c r="S171" s="40">
        <f>IF($B171="","",IF($R171&gt;=3,"CAO",IF($R171&gt;=1,"TRUNG BÌNH","THẤP")))</f>
        <v/>
      </c>
      <c r="T171" s="40" t="n"/>
      <c r="U171" s="40" t="n"/>
      <c r="V171" s="40" t="n"/>
      <c r="W171" s="40" t="n"/>
      <c r="X171" s="40" t="n"/>
      <c r="Y171" s="40" t="n"/>
      <c r="Z171" s="40" t="n"/>
      <c r="AA171" s="40" t="n"/>
      <c r="AB171" s="40" t="n"/>
      <c r="AC171" s="40" t="n"/>
      <c r="AD171" s="40" t="n"/>
      <c r="AE171" s="40" t="n"/>
      <c r="AF171" s="40" t="n"/>
      <c r="AG171" s="40" t="n"/>
      <c r="AH171" s="40" t="n"/>
      <c r="AI171" s="40" t="n"/>
      <c r="AJ171" s="40" t="n"/>
      <c r="AK171" s="40" t="n"/>
      <c r="AL171" s="40" t="n"/>
      <c r="AM171" s="40" t="n"/>
      <c r="AN171" s="40" t="n"/>
      <c r="AO171" s="40" t="n"/>
      <c r="AP171" s="40" t="n"/>
      <c r="AQ171" s="40" t="n"/>
    </row>
    <row r="172">
      <c r="A172" s="40" t="inlineStr">
        <is>
          <t>ORI169</t>
        </is>
      </c>
      <c r="B172" s="46" t="n"/>
      <c r="C172" s="40" t="n"/>
      <c r="D172" s="40" t="n"/>
      <c r="E172" s="40" t="n"/>
      <c r="F172" s="44" t="n"/>
      <c r="G172" s="40" t="n"/>
      <c r="H172" s="40" t="n"/>
      <c r="I172" s="44">
        <f>IFERROR(EDATE(F172,H172),"")</f>
        <v/>
      </c>
      <c r="J172" s="47" t="n"/>
      <c r="K172" s="40" t="n"/>
      <c r="L172" s="40" t="n"/>
      <c r="M172" s="40" t="n"/>
      <c r="N172" s="40" t="n"/>
      <c r="O172" s="40">
        <f>IF($B172="","",IFERROR(INDEX('CHUYÊN CẦN'!$C$3:$N$202,MATCH($A172,'CHUYÊN CẦN'!$A$3:$A$202,0),MONTH(TODAY())),0))</f>
        <v/>
      </c>
      <c r="P172" s="44">
        <f>IF($B172="","",IF(SUMPRODUCT(MAX(('NHẬT KÝ CSKH'!$B$3:$B$1000=$A172)*'NHẬT KÝ CSKH'!$A$3:$A$1000))=0,"",SUMPRODUCT(MAX(('NHẬT KÝ CSKH'!$B$3:$B$1000=$A172)*'NHẬT KÝ CSKH'!$A$3:$A$1000))))</f>
        <v/>
      </c>
      <c r="Q172" s="40">
        <f>IF($B172="","",IF($I172="","",$I172-TODAY()))</f>
        <v/>
      </c>
      <c r="R172" s="40">
        <f>IF($B172="","",IF($O172&gt;=3,2,0)+IF($K172="Còn nợ",2,0)+IF(AND($N172="Đang học",$Q172&lt;&gt;"",$Q172&gt;=0,$Q172&lt;=30),1,0)+IF($P172="",1,IF(TODAY()-$P172&gt;60,1,0)))</f>
        <v/>
      </c>
      <c r="S172" s="40">
        <f>IF($B172="","",IF($R172&gt;=3,"CAO",IF($R172&gt;=1,"TRUNG BÌNH","THẤP")))</f>
        <v/>
      </c>
      <c r="T172" s="40" t="n"/>
      <c r="U172" s="40" t="n"/>
      <c r="V172" s="40" t="n"/>
      <c r="W172" s="40" t="n"/>
      <c r="X172" s="40" t="n"/>
      <c r="Y172" s="40" t="n"/>
      <c r="Z172" s="40" t="n"/>
      <c r="AA172" s="40" t="n"/>
      <c r="AB172" s="40" t="n"/>
      <c r="AC172" s="40" t="n"/>
      <c r="AD172" s="40" t="n"/>
      <c r="AE172" s="40" t="n"/>
      <c r="AF172" s="40" t="n"/>
      <c r="AG172" s="40" t="n"/>
      <c r="AH172" s="40" t="n"/>
      <c r="AI172" s="40" t="n"/>
      <c r="AJ172" s="40" t="n"/>
      <c r="AK172" s="40" t="n"/>
      <c r="AL172" s="40" t="n"/>
      <c r="AM172" s="40" t="n"/>
      <c r="AN172" s="40" t="n"/>
      <c r="AO172" s="40" t="n"/>
      <c r="AP172" s="40" t="n"/>
      <c r="AQ172" s="40" t="n"/>
    </row>
    <row r="173">
      <c r="A173" s="40" t="inlineStr">
        <is>
          <t>ORI170</t>
        </is>
      </c>
      <c r="B173" s="46" t="n"/>
      <c r="C173" s="40" t="n"/>
      <c r="D173" s="40" t="n"/>
      <c r="E173" s="40" t="n"/>
      <c r="F173" s="44" t="n"/>
      <c r="G173" s="40" t="n"/>
      <c r="H173" s="40" t="n"/>
      <c r="I173" s="44">
        <f>IFERROR(EDATE(F173,H173),"")</f>
        <v/>
      </c>
      <c r="J173" s="47" t="n"/>
      <c r="K173" s="40" t="n"/>
      <c r="L173" s="40" t="n"/>
      <c r="M173" s="40" t="n"/>
      <c r="N173" s="40" t="n"/>
      <c r="O173" s="40">
        <f>IF($B173="","",IFERROR(INDEX('CHUYÊN CẦN'!$C$3:$N$202,MATCH($A173,'CHUYÊN CẦN'!$A$3:$A$202,0),MONTH(TODAY())),0))</f>
        <v/>
      </c>
      <c r="P173" s="44">
        <f>IF($B173="","",IF(SUMPRODUCT(MAX(('NHẬT KÝ CSKH'!$B$3:$B$1000=$A173)*'NHẬT KÝ CSKH'!$A$3:$A$1000))=0,"",SUMPRODUCT(MAX(('NHẬT KÝ CSKH'!$B$3:$B$1000=$A173)*'NHẬT KÝ CSKH'!$A$3:$A$1000))))</f>
        <v/>
      </c>
      <c r="Q173" s="40">
        <f>IF($B173="","",IF($I173="","",$I173-TODAY()))</f>
        <v/>
      </c>
      <c r="R173" s="40">
        <f>IF($B173="","",IF($O173&gt;=3,2,0)+IF($K173="Còn nợ",2,0)+IF(AND($N173="Đang học",$Q173&lt;&gt;"",$Q173&gt;=0,$Q173&lt;=30),1,0)+IF($P173="",1,IF(TODAY()-$P173&gt;60,1,0)))</f>
        <v/>
      </c>
      <c r="S173" s="40">
        <f>IF($B173="","",IF($R173&gt;=3,"CAO",IF($R173&gt;=1,"TRUNG BÌNH","THẤP")))</f>
        <v/>
      </c>
      <c r="T173" s="40" t="n"/>
      <c r="U173" s="40" t="n"/>
      <c r="V173" s="40" t="n"/>
      <c r="W173" s="40" t="n"/>
      <c r="X173" s="40" t="n"/>
      <c r="Y173" s="40" t="n"/>
      <c r="Z173" s="40" t="n"/>
      <c r="AA173" s="40" t="n"/>
      <c r="AB173" s="40" t="n"/>
      <c r="AC173" s="40" t="n"/>
      <c r="AD173" s="40" t="n"/>
      <c r="AE173" s="40" t="n"/>
      <c r="AF173" s="40" t="n"/>
      <c r="AG173" s="40" t="n"/>
      <c r="AH173" s="40" t="n"/>
      <c r="AI173" s="40" t="n"/>
      <c r="AJ173" s="40" t="n"/>
      <c r="AK173" s="40" t="n"/>
      <c r="AL173" s="40" t="n"/>
      <c r="AM173" s="40" t="n"/>
      <c r="AN173" s="40" t="n"/>
      <c r="AO173" s="40" t="n"/>
      <c r="AP173" s="40" t="n"/>
      <c r="AQ173" s="40" t="n"/>
    </row>
    <row r="174">
      <c r="A174" s="40" t="inlineStr">
        <is>
          <t>ORI171</t>
        </is>
      </c>
      <c r="B174" s="46" t="n"/>
      <c r="C174" s="40" t="n"/>
      <c r="D174" s="40" t="n"/>
      <c r="E174" s="40" t="n"/>
      <c r="F174" s="44" t="n"/>
      <c r="G174" s="40" t="n"/>
      <c r="H174" s="40" t="n"/>
      <c r="I174" s="44">
        <f>IFERROR(EDATE(F174,H174),"")</f>
        <v/>
      </c>
      <c r="J174" s="47" t="n"/>
      <c r="K174" s="40" t="n"/>
      <c r="L174" s="40" t="n"/>
      <c r="M174" s="40" t="n"/>
      <c r="N174" s="40" t="n"/>
      <c r="O174" s="40">
        <f>IF($B174="","",IFERROR(INDEX('CHUYÊN CẦN'!$C$3:$N$202,MATCH($A174,'CHUYÊN CẦN'!$A$3:$A$202,0),MONTH(TODAY())),0))</f>
        <v/>
      </c>
      <c r="P174" s="44">
        <f>IF($B174="","",IF(SUMPRODUCT(MAX(('NHẬT KÝ CSKH'!$B$3:$B$1000=$A174)*'NHẬT KÝ CSKH'!$A$3:$A$1000))=0,"",SUMPRODUCT(MAX(('NHẬT KÝ CSKH'!$B$3:$B$1000=$A174)*'NHẬT KÝ CSKH'!$A$3:$A$1000))))</f>
        <v/>
      </c>
      <c r="Q174" s="40">
        <f>IF($B174="","",IF($I174="","",$I174-TODAY()))</f>
        <v/>
      </c>
      <c r="R174" s="40">
        <f>IF($B174="","",IF($O174&gt;=3,2,0)+IF($K174="Còn nợ",2,0)+IF(AND($N174="Đang học",$Q174&lt;&gt;"",$Q174&gt;=0,$Q174&lt;=30),1,0)+IF($P174="",1,IF(TODAY()-$P174&gt;60,1,0)))</f>
        <v/>
      </c>
      <c r="S174" s="40">
        <f>IF($B174="","",IF($R174&gt;=3,"CAO",IF($R174&gt;=1,"TRUNG BÌNH","THẤP")))</f>
        <v/>
      </c>
      <c r="T174" s="40" t="n"/>
      <c r="U174" s="40" t="n"/>
      <c r="V174" s="40" t="n"/>
      <c r="W174" s="40" t="n"/>
      <c r="X174" s="40" t="n"/>
      <c r="Y174" s="40" t="n"/>
      <c r="Z174" s="40" t="n"/>
      <c r="AA174" s="40" t="n"/>
      <c r="AB174" s="40" t="n"/>
      <c r="AC174" s="40" t="n"/>
      <c r="AD174" s="40" t="n"/>
      <c r="AE174" s="40" t="n"/>
      <c r="AF174" s="40" t="n"/>
      <c r="AG174" s="40" t="n"/>
      <c r="AH174" s="40" t="n"/>
      <c r="AI174" s="40" t="n"/>
      <c r="AJ174" s="40" t="n"/>
      <c r="AK174" s="40" t="n"/>
      <c r="AL174" s="40" t="n"/>
      <c r="AM174" s="40" t="n"/>
      <c r="AN174" s="40" t="n"/>
      <c r="AO174" s="40" t="n"/>
      <c r="AP174" s="40" t="n"/>
      <c r="AQ174" s="40" t="n"/>
    </row>
    <row r="175">
      <c r="A175" s="40" t="inlineStr">
        <is>
          <t>ORI172</t>
        </is>
      </c>
      <c r="B175" s="46" t="n"/>
      <c r="C175" s="40" t="n"/>
      <c r="D175" s="40" t="n"/>
      <c r="E175" s="40" t="n"/>
      <c r="F175" s="44" t="n"/>
      <c r="G175" s="40" t="n"/>
      <c r="H175" s="40" t="n"/>
      <c r="I175" s="44">
        <f>IFERROR(EDATE(F175,H175),"")</f>
        <v/>
      </c>
      <c r="J175" s="47" t="n"/>
      <c r="K175" s="40" t="n"/>
      <c r="L175" s="40" t="n"/>
      <c r="M175" s="40" t="n"/>
      <c r="N175" s="40" t="n"/>
      <c r="O175" s="40">
        <f>IF($B175="","",IFERROR(INDEX('CHUYÊN CẦN'!$C$3:$N$202,MATCH($A175,'CHUYÊN CẦN'!$A$3:$A$202,0),MONTH(TODAY())),0))</f>
        <v/>
      </c>
      <c r="P175" s="44">
        <f>IF($B175="","",IF(SUMPRODUCT(MAX(('NHẬT KÝ CSKH'!$B$3:$B$1000=$A175)*'NHẬT KÝ CSKH'!$A$3:$A$1000))=0,"",SUMPRODUCT(MAX(('NHẬT KÝ CSKH'!$B$3:$B$1000=$A175)*'NHẬT KÝ CSKH'!$A$3:$A$1000))))</f>
        <v/>
      </c>
      <c r="Q175" s="40">
        <f>IF($B175="","",IF($I175="","",$I175-TODAY()))</f>
        <v/>
      </c>
      <c r="R175" s="40">
        <f>IF($B175="","",IF($O175&gt;=3,2,0)+IF($K175="Còn nợ",2,0)+IF(AND($N175="Đang học",$Q175&lt;&gt;"",$Q175&gt;=0,$Q175&lt;=30),1,0)+IF($P175="",1,IF(TODAY()-$P175&gt;60,1,0)))</f>
        <v/>
      </c>
      <c r="S175" s="40">
        <f>IF($B175="","",IF($R175&gt;=3,"CAO",IF($R175&gt;=1,"TRUNG BÌNH","THẤP")))</f>
        <v/>
      </c>
      <c r="T175" s="40" t="n"/>
      <c r="U175" s="40" t="n"/>
      <c r="V175" s="40" t="n"/>
      <c r="W175" s="40" t="n"/>
      <c r="X175" s="40" t="n"/>
      <c r="Y175" s="40" t="n"/>
      <c r="Z175" s="40" t="n"/>
      <c r="AA175" s="40" t="n"/>
      <c r="AB175" s="40" t="n"/>
      <c r="AC175" s="40" t="n"/>
      <c r="AD175" s="40" t="n"/>
      <c r="AE175" s="40" t="n"/>
      <c r="AF175" s="40" t="n"/>
      <c r="AG175" s="40" t="n"/>
      <c r="AH175" s="40" t="n"/>
      <c r="AI175" s="40" t="n"/>
      <c r="AJ175" s="40" t="n"/>
      <c r="AK175" s="40" t="n"/>
      <c r="AL175" s="40" t="n"/>
      <c r="AM175" s="40" t="n"/>
      <c r="AN175" s="40" t="n"/>
      <c r="AO175" s="40" t="n"/>
      <c r="AP175" s="40" t="n"/>
      <c r="AQ175" s="40" t="n"/>
    </row>
    <row r="176">
      <c r="A176" s="40" t="inlineStr">
        <is>
          <t>ORI173</t>
        </is>
      </c>
      <c r="B176" s="46" t="n"/>
      <c r="C176" s="40" t="n"/>
      <c r="D176" s="40" t="n"/>
      <c r="E176" s="40" t="n"/>
      <c r="F176" s="44" t="n"/>
      <c r="G176" s="40" t="n"/>
      <c r="H176" s="40" t="n"/>
      <c r="I176" s="44">
        <f>IFERROR(EDATE(F176,H176),"")</f>
        <v/>
      </c>
      <c r="J176" s="47" t="n"/>
      <c r="K176" s="40" t="n"/>
      <c r="L176" s="40" t="n"/>
      <c r="M176" s="40" t="n"/>
      <c r="N176" s="40" t="n"/>
      <c r="O176" s="40">
        <f>IF($B176="","",IFERROR(INDEX('CHUYÊN CẦN'!$C$3:$N$202,MATCH($A176,'CHUYÊN CẦN'!$A$3:$A$202,0),MONTH(TODAY())),0))</f>
        <v/>
      </c>
      <c r="P176" s="44">
        <f>IF($B176="","",IF(SUMPRODUCT(MAX(('NHẬT KÝ CSKH'!$B$3:$B$1000=$A176)*'NHẬT KÝ CSKH'!$A$3:$A$1000))=0,"",SUMPRODUCT(MAX(('NHẬT KÝ CSKH'!$B$3:$B$1000=$A176)*'NHẬT KÝ CSKH'!$A$3:$A$1000))))</f>
        <v/>
      </c>
      <c r="Q176" s="40">
        <f>IF($B176="","",IF($I176="","",$I176-TODAY()))</f>
        <v/>
      </c>
      <c r="R176" s="40">
        <f>IF($B176="","",IF($O176&gt;=3,2,0)+IF($K176="Còn nợ",2,0)+IF(AND($N176="Đang học",$Q176&lt;&gt;"",$Q176&gt;=0,$Q176&lt;=30),1,0)+IF($P176="",1,IF(TODAY()-$P176&gt;60,1,0)))</f>
        <v/>
      </c>
      <c r="S176" s="40">
        <f>IF($B176="","",IF($R176&gt;=3,"CAO",IF($R176&gt;=1,"TRUNG BÌNH","THẤP")))</f>
        <v/>
      </c>
      <c r="T176" s="40" t="n"/>
      <c r="U176" s="40" t="n"/>
      <c r="V176" s="40" t="n"/>
      <c r="W176" s="40" t="n"/>
      <c r="X176" s="40" t="n"/>
      <c r="Y176" s="40" t="n"/>
      <c r="Z176" s="40" t="n"/>
      <c r="AA176" s="40" t="n"/>
      <c r="AB176" s="40" t="n"/>
      <c r="AC176" s="40" t="n"/>
      <c r="AD176" s="40" t="n"/>
      <c r="AE176" s="40" t="n"/>
      <c r="AF176" s="40" t="n"/>
      <c r="AG176" s="40" t="n"/>
      <c r="AH176" s="40" t="n"/>
      <c r="AI176" s="40" t="n"/>
      <c r="AJ176" s="40" t="n"/>
      <c r="AK176" s="40" t="n"/>
      <c r="AL176" s="40" t="n"/>
      <c r="AM176" s="40" t="n"/>
      <c r="AN176" s="40" t="n"/>
      <c r="AO176" s="40" t="n"/>
      <c r="AP176" s="40" t="n"/>
      <c r="AQ176" s="40" t="n"/>
    </row>
    <row r="177">
      <c r="A177" s="40" t="inlineStr">
        <is>
          <t>ORI174</t>
        </is>
      </c>
      <c r="B177" s="46" t="n"/>
      <c r="C177" s="40" t="n"/>
      <c r="D177" s="40" t="n"/>
      <c r="E177" s="40" t="n"/>
      <c r="F177" s="44" t="n"/>
      <c r="G177" s="40" t="n"/>
      <c r="H177" s="40" t="n"/>
      <c r="I177" s="44">
        <f>IFERROR(EDATE(F177,H177),"")</f>
        <v/>
      </c>
      <c r="J177" s="47" t="n"/>
      <c r="K177" s="40" t="n"/>
      <c r="L177" s="40" t="n"/>
      <c r="M177" s="40" t="n"/>
      <c r="N177" s="40" t="n"/>
      <c r="O177" s="40">
        <f>IF($B177="","",IFERROR(INDEX('CHUYÊN CẦN'!$C$3:$N$202,MATCH($A177,'CHUYÊN CẦN'!$A$3:$A$202,0),MONTH(TODAY())),0))</f>
        <v/>
      </c>
      <c r="P177" s="44">
        <f>IF($B177="","",IF(SUMPRODUCT(MAX(('NHẬT KÝ CSKH'!$B$3:$B$1000=$A177)*'NHẬT KÝ CSKH'!$A$3:$A$1000))=0,"",SUMPRODUCT(MAX(('NHẬT KÝ CSKH'!$B$3:$B$1000=$A177)*'NHẬT KÝ CSKH'!$A$3:$A$1000))))</f>
        <v/>
      </c>
      <c r="Q177" s="40">
        <f>IF($B177="","",IF($I177="","",$I177-TODAY()))</f>
        <v/>
      </c>
      <c r="R177" s="40">
        <f>IF($B177="","",IF($O177&gt;=3,2,0)+IF($K177="Còn nợ",2,0)+IF(AND($N177="Đang học",$Q177&lt;&gt;"",$Q177&gt;=0,$Q177&lt;=30),1,0)+IF($P177="",1,IF(TODAY()-$P177&gt;60,1,0)))</f>
        <v/>
      </c>
      <c r="S177" s="40">
        <f>IF($B177="","",IF($R177&gt;=3,"CAO",IF($R177&gt;=1,"TRUNG BÌNH","THẤP")))</f>
        <v/>
      </c>
      <c r="T177" s="40" t="n"/>
      <c r="U177" s="40" t="n"/>
      <c r="V177" s="40" t="n"/>
      <c r="W177" s="40" t="n"/>
      <c r="X177" s="40" t="n"/>
      <c r="Y177" s="40" t="n"/>
      <c r="Z177" s="40" t="n"/>
      <c r="AA177" s="40" t="n"/>
      <c r="AB177" s="40" t="n"/>
      <c r="AC177" s="40" t="n"/>
      <c r="AD177" s="40" t="n"/>
      <c r="AE177" s="40" t="n"/>
      <c r="AF177" s="40" t="n"/>
      <c r="AG177" s="40" t="n"/>
      <c r="AH177" s="40" t="n"/>
      <c r="AI177" s="40" t="n"/>
      <c r="AJ177" s="40" t="n"/>
      <c r="AK177" s="40" t="n"/>
      <c r="AL177" s="40" t="n"/>
      <c r="AM177" s="40" t="n"/>
      <c r="AN177" s="40" t="n"/>
      <c r="AO177" s="40" t="n"/>
      <c r="AP177" s="40" t="n"/>
      <c r="AQ177" s="40" t="n"/>
    </row>
    <row r="178">
      <c r="A178" s="40" t="inlineStr">
        <is>
          <t>ORI175</t>
        </is>
      </c>
      <c r="B178" s="46" t="n"/>
      <c r="C178" s="40" t="n"/>
      <c r="D178" s="40" t="n"/>
      <c r="E178" s="40" t="n"/>
      <c r="F178" s="44" t="n"/>
      <c r="G178" s="40" t="n"/>
      <c r="H178" s="40" t="n"/>
      <c r="I178" s="44">
        <f>IFERROR(EDATE(F178,H178),"")</f>
        <v/>
      </c>
      <c r="J178" s="47" t="n"/>
      <c r="K178" s="40" t="n"/>
      <c r="L178" s="40" t="n"/>
      <c r="M178" s="40" t="n"/>
      <c r="N178" s="40" t="n"/>
      <c r="O178" s="40">
        <f>IF($B178="","",IFERROR(INDEX('CHUYÊN CẦN'!$C$3:$N$202,MATCH($A178,'CHUYÊN CẦN'!$A$3:$A$202,0),MONTH(TODAY())),0))</f>
        <v/>
      </c>
      <c r="P178" s="44">
        <f>IF($B178="","",IF(SUMPRODUCT(MAX(('NHẬT KÝ CSKH'!$B$3:$B$1000=$A178)*'NHẬT KÝ CSKH'!$A$3:$A$1000))=0,"",SUMPRODUCT(MAX(('NHẬT KÝ CSKH'!$B$3:$B$1000=$A178)*'NHẬT KÝ CSKH'!$A$3:$A$1000))))</f>
        <v/>
      </c>
      <c r="Q178" s="40">
        <f>IF($B178="","",IF($I178="","",$I178-TODAY()))</f>
        <v/>
      </c>
      <c r="R178" s="40">
        <f>IF($B178="","",IF($O178&gt;=3,2,0)+IF($K178="Còn nợ",2,0)+IF(AND($N178="Đang học",$Q178&lt;&gt;"",$Q178&gt;=0,$Q178&lt;=30),1,0)+IF($P178="",1,IF(TODAY()-$P178&gt;60,1,0)))</f>
        <v/>
      </c>
      <c r="S178" s="40">
        <f>IF($B178="","",IF($R178&gt;=3,"CAO",IF($R178&gt;=1,"TRUNG BÌNH","THẤP")))</f>
        <v/>
      </c>
      <c r="T178" s="40" t="n"/>
      <c r="U178" s="40" t="n"/>
      <c r="V178" s="40" t="n"/>
      <c r="W178" s="40" t="n"/>
      <c r="X178" s="40" t="n"/>
      <c r="Y178" s="40" t="n"/>
      <c r="Z178" s="40" t="n"/>
      <c r="AA178" s="40" t="n"/>
      <c r="AB178" s="40" t="n"/>
      <c r="AC178" s="40" t="n"/>
      <c r="AD178" s="40" t="n"/>
      <c r="AE178" s="40" t="n"/>
      <c r="AF178" s="40" t="n"/>
      <c r="AG178" s="40" t="n"/>
      <c r="AH178" s="40" t="n"/>
      <c r="AI178" s="40" t="n"/>
      <c r="AJ178" s="40" t="n"/>
      <c r="AK178" s="40" t="n"/>
      <c r="AL178" s="40" t="n"/>
      <c r="AM178" s="40" t="n"/>
      <c r="AN178" s="40" t="n"/>
      <c r="AO178" s="40" t="n"/>
      <c r="AP178" s="40" t="n"/>
      <c r="AQ178" s="40" t="n"/>
    </row>
    <row r="179">
      <c r="A179" s="40" t="inlineStr">
        <is>
          <t>ORI176</t>
        </is>
      </c>
      <c r="B179" s="46" t="n"/>
      <c r="C179" s="40" t="n"/>
      <c r="D179" s="40" t="n"/>
      <c r="E179" s="40" t="n"/>
      <c r="F179" s="44" t="n"/>
      <c r="G179" s="40" t="n"/>
      <c r="H179" s="40" t="n"/>
      <c r="I179" s="44">
        <f>IFERROR(EDATE(F179,H179),"")</f>
        <v/>
      </c>
      <c r="J179" s="47" t="n"/>
      <c r="K179" s="40" t="n"/>
      <c r="L179" s="40" t="n"/>
      <c r="M179" s="40" t="n"/>
      <c r="N179" s="40" t="n"/>
      <c r="O179" s="40">
        <f>IF($B179="","",IFERROR(INDEX('CHUYÊN CẦN'!$C$3:$N$202,MATCH($A179,'CHUYÊN CẦN'!$A$3:$A$202,0),MONTH(TODAY())),0))</f>
        <v/>
      </c>
      <c r="P179" s="44">
        <f>IF($B179="","",IF(SUMPRODUCT(MAX(('NHẬT KÝ CSKH'!$B$3:$B$1000=$A179)*'NHẬT KÝ CSKH'!$A$3:$A$1000))=0,"",SUMPRODUCT(MAX(('NHẬT KÝ CSKH'!$B$3:$B$1000=$A179)*'NHẬT KÝ CSKH'!$A$3:$A$1000))))</f>
        <v/>
      </c>
      <c r="Q179" s="40">
        <f>IF($B179="","",IF($I179="","",$I179-TODAY()))</f>
        <v/>
      </c>
      <c r="R179" s="40">
        <f>IF($B179="","",IF($O179&gt;=3,2,0)+IF($K179="Còn nợ",2,0)+IF(AND($N179="Đang học",$Q179&lt;&gt;"",$Q179&gt;=0,$Q179&lt;=30),1,0)+IF($P179="",1,IF(TODAY()-$P179&gt;60,1,0)))</f>
        <v/>
      </c>
      <c r="S179" s="40">
        <f>IF($B179="","",IF($R179&gt;=3,"CAO",IF($R179&gt;=1,"TRUNG BÌNH","THẤP")))</f>
        <v/>
      </c>
      <c r="T179" s="40" t="n"/>
      <c r="U179" s="40" t="n"/>
      <c r="V179" s="40" t="n"/>
      <c r="W179" s="40" t="n"/>
      <c r="X179" s="40" t="n"/>
      <c r="Y179" s="40" t="n"/>
      <c r="Z179" s="40" t="n"/>
      <c r="AA179" s="40" t="n"/>
      <c r="AB179" s="40" t="n"/>
      <c r="AC179" s="40" t="n"/>
      <c r="AD179" s="40" t="n"/>
      <c r="AE179" s="40" t="n"/>
      <c r="AF179" s="40" t="n"/>
      <c r="AG179" s="40" t="n"/>
      <c r="AH179" s="40" t="n"/>
      <c r="AI179" s="40" t="n"/>
      <c r="AJ179" s="40" t="n"/>
      <c r="AK179" s="40" t="n"/>
      <c r="AL179" s="40" t="n"/>
      <c r="AM179" s="40" t="n"/>
      <c r="AN179" s="40" t="n"/>
      <c r="AO179" s="40" t="n"/>
      <c r="AP179" s="40" t="n"/>
      <c r="AQ179" s="40" t="n"/>
    </row>
    <row r="180">
      <c r="A180" s="40" t="inlineStr">
        <is>
          <t>ORI177</t>
        </is>
      </c>
      <c r="B180" s="46" t="n"/>
      <c r="C180" s="40" t="n"/>
      <c r="D180" s="40" t="n"/>
      <c r="E180" s="40" t="n"/>
      <c r="F180" s="44" t="n"/>
      <c r="G180" s="40" t="n"/>
      <c r="H180" s="40" t="n"/>
      <c r="I180" s="44">
        <f>IFERROR(EDATE(F180,H180),"")</f>
        <v/>
      </c>
      <c r="J180" s="47" t="n"/>
      <c r="K180" s="40" t="n"/>
      <c r="L180" s="40" t="n"/>
      <c r="M180" s="40" t="n"/>
      <c r="N180" s="40" t="n"/>
      <c r="O180" s="40">
        <f>IF($B180="","",IFERROR(INDEX('CHUYÊN CẦN'!$C$3:$N$202,MATCH($A180,'CHUYÊN CẦN'!$A$3:$A$202,0),MONTH(TODAY())),0))</f>
        <v/>
      </c>
      <c r="P180" s="44">
        <f>IF($B180="","",IF(SUMPRODUCT(MAX(('NHẬT KÝ CSKH'!$B$3:$B$1000=$A180)*'NHẬT KÝ CSKH'!$A$3:$A$1000))=0,"",SUMPRODUCT(MAX(('NHẬT KÝ CSKH'!$B$3:$B$1000=$A180)*'NHẬT KÝ CSKH'!$A$3:$A$1000))))</f>
        <v/>
      </c>
      <c r="Q180" s="40">
        <f>IF($B180="","",IF($I180="","",$I180-TODAY()))</f>
        <v/>
      </c>
      <c r="R180" s="40">
        <f>IF($B180="","",IF($O180&gt;=3,2,0)+IF($K180="Còn nợ",2,0)+IF(AND($N180="Đang học",$Q180&lt;&gt;"",$Q180&gt;=0,$Q180&lt;=30),1,0)+IF($P180="",1,IF(TODAY()-$P180&gt;60,1,0)))</f>
        <v/>
      </c>
      <c r="S180" s="40">
        <f>IF($B180="","",IF($R180&gt;=3,"CAO",IF($R180&gt;=1,"TRUNG BÌNH","THẤP")))</f>
        <v/>
      </c>
      <c r="T180" s="40" t="n"/>
      <c r="U180" s="40" t="n"/>
      <c r="V180" s="40" t="n"/>
      <c r="W180" s="40" t="n"/>
      <c r="X180" s="40" t="n"/>
      <c r="Y180" s="40" t="n"/>
      <c r="Z180" s="40" t="n"/>
      <c r="AA180" s="40" t="n"/>
      <c r="AB180" s="40" t="n"/>
      <c r="AC180" s="40" t="n"/>
      <c r="AD180" s="40" t="n"/>
      <c r="AE180" s="40" t="n"/>
      <c r="AF180" s="40" t="n"/>
      <c r="AG180" s="40" t="n"/>
      <c r="AH180" s="40" t="n"/>
      <c r="AI180" s="40" t="n"/>
      <c r="AJ180" s="40" t="n"/>
      <c r="AK180" s="40" t="n"/>
      <c r="AL180" s="40" t="n"/>
      <c r="AM180" s="40" t="n"/>
      <c r="AN180" s="40" t="n"/>
      <c r="AO180" s="40" t="n"/>
      <c r="AP180" s="40" t="n"/>
      <c r="AQ180" s="40" t="n"/>
    </row>
    <row r="181">
      <c r="A181" s="40" t="inlineStr">
        <is>
          <t>ORI178</t>
        </is>
      </c>
      <c r="B181" s="46" t="n"/>
      <c r="C181" s="40" t="n"/>
      <c r="D181" s="40" t="n"/>
      <c r="E181" s="40" t="n"/>
      <c r="F181" s="44" t="n"/>
      <c r="G181" s="40" t="n"/>
      <c r="H181" s="40" t="n"/>
      <c r="I181" s="44">
        <f>IFERROR(EDATE(F181,H181),"")</f>
        <v/>
      </c>
      <c r="J181" s="47" t="n"/>
      <c r="K181" s="40" t="n"/>
      <c r="L181" s="40" t="n"/>
      <c r="M181" s="40" t="n"/>
      <c r="N181" s="40" t="n"/>
      <c r="O181" s="40">
        <f>IF($B181="","",IFERROR(INDEX('CHUYÊN CẦN'!$C$3:$N$202,MATCH($A181,'CHUYÊN CẦN'!$A$3:$A$202,0),MONTH(TODAY())),0))</f>
        <v/>
      </c>
      <c r="P181" s="44">
        <f>IF($B181="","",IF(SUMPRODUCT(MAX(('NHẬT KÝ CSKH'!$B$3:$B$1000=$A181)*'NHẬT KÝ CSKH'!$A$3:$A$1000))=0,"",SUMPRODUCT(MAX(('NHẬT KÝ CSKH'!$B$3:$B$1000=$A181)*'NHẬT KÝ CSKH'!$A$3:$A$1000))))</f>
        <v/>
      </c>
      <c r="Q181" s="40">
        <f>IF($B181="","",IF($I181="","",$I181-TODAY()))</f>
        <v/>
      </c>
      <c r="R181" s="40">
        <f>IF($B181="","",IF($O181&gt;=3,2,0)+IF($K181="Còn nợ",2,0)+IF(AND($N181="Đang học",$Q181&lt;&gt;"",$Q181&gt;=0,$Q181&lt;=30),1,0)+IF($P181="",1,IF(TODAY()-$P181&gt;60,1,0)))</f>
        <v/>
      </c>
      <c r="S181" s="40">
        <f>IF($B181="","",IF($R181&gt;=3,"CAO",IF($R181&gt;=1,"TRUNG BÌNH","THẤP")))</f>
        <v/>
      </c>
      <c r="T181" s="40" t="n"/>
      <c r="U181" s="40" t="n"/>
      <c r="V181" s="40" t="n"/>
      <c r="W181" s="40" t="n"/>
      <c r="X181" s="40" t="n"/>
      <c r="Y181" s="40" t="n"/>
      <c r="Z181" s="40" t="n"/>
      <c r="AA181" s="40" t="n"/>
      <c r="AB181" s="40" t="n"/>
      <c r="AC181" s="40" t="n"/>
      <c r="AD181" s="40" t="n"/>
      <c r="AE181" s="40" t="n"/>
      <c r="AF181" s="40" t="n"/>
      <c r="AG181" s="40" t="n"/>
      <c r="AH181" s="40" t="n"/>
      <c r="AI181" s="40" t="n"/>
      <c r="AJ181" s="40" t="n"/>
      <c r="AK181" s="40" t="n"/>
      <c r="AL181" s="40" t="n"/>
      <c r="AM181" s="40" t="n"/>
      <c r="AN181" s="40" t="n"/>
      <c r="AO181" s="40" t="n"/>
      <c r="AP181" s="40" t="n"/>
      <c r="AQ181" s="40" t="n"/>
    </row>
    <row r="182">
      <c r="A182" s="40" t="inlineStr">
        <is>
          <t>ORI179</t>
        </is>
      </c>
      <c r="B182" s="46" t="n"/>
      <c r="C182" s="40" t="n"/>
      <c r="D182" s="40" t="n"/>
      <c r="E182" s="40" t="n"/>
      <c r="F182" s="44" t="n"/>
      <c r="G182" s="40" t="n"/>
      <c r="H182" s="40" t="n"/>
      <c r="I182" s="44">
        <f>IFERROR(EDATE(F182,H182),"")</f>
        <v/>
      </c>
      <c r="J182" s="47" t="n"/>
      <c r="K182" s="40" t="n"/>
      <c r="L182" s="40" t="n"/>
      <c r="M182" s="40" t="n"/>
      <c r="N182" s="40" t="n"/>
      <c r="O182" s="40">
        <f>IF($B182="","",IFERROR(INDEX('CHUYÊN CẦN'!$C$3:$N$202,MATCH($A182,'CHUYÊN CẦN'!$A$3:$A$202,0),MONTH(TODAY())),0))</f>
        <v/>
      </c>
      <c r="P182" s="44">
        <f>IF($B182="","",IF(SUMPRODUCT(MAX(('NHẬT KÝ CSKH'!$B$3:$B$1000=$A182)*'NHẬT KÝ CSKH'!$A$3:$A$1000))=0,"",SUMPRODUCT(MAX(('NHẬT KÝ CSKH'!$B$3:$B$1000=$A182)*'NHẬT KÝ CSKH'!$A$3:$A$1000))))</f>
        <v/>
      </c>
      <c r="Q182" s="40">
        <f>IF($B182="","",IF($I182="","",$I182-TODAY()))</f>
        <v/>
      </c>
      <c r="R182" s="40">
        <f>IF($B182="","",IF($O182&gt;=3,2,0)+IF($K182="Còn nợ",2,0)+IF(AND($N182="Đang học",$Q182&lt;&gt;"",$Q182&gt;=0,$Q182&lt;=30),1,0)+IF($P182="",1,IF(TODAY()-$P182&gt;60,1,0)))</f>
        <v/>
      </c>
      <c r="S182" s="40">
        <f>IF($B182="","",IF($R182&gt;=3,"CAO",IF($R182&gt;=1,"TRUNG BÌNH","THẤP")))</f>
        <v/>
      </c>
      <c r="T182" s="40" t="n"/>
      <c r="U182" s="40" t="n"/>
      <c r="V182" s="40" t="n"/>
      <c r="W182" s="40" t="n"/>
      <c r="X182" s="40" t="n"/>
      <c r="Y182" s="40" t="n"/>
      <c r="Z182" s="40" t="n"/>
      <c r="AA182" s="40" t="n"/>
      <c r="AB182" s="40" t="n"/>
      <c r="AC182" s="40" t="n"/>
      <c r="AD182" s="40" t="n"/>
      <c r="AE182" s="40" t="n"/>
      <c r="AF182" s="40" t="n"/>
      <c r="AG182" s="40" t="n"/>
      <c r="AH182" s="40" t="n"/>
      <c r="AI182" s="40" t="n"/>
      <c r="AJ182" s="40" t="n"/>
      <c r="AK182" s="40" t="n"/>
      <c r="AL182" s="40" t="n"/>
      <c r="AM182" s="40" t="n"/>
      <c r="AN182" s="40" t="n"/>
      <c r="AO182" s="40" t="n"/>
      <c r="AP182" s="40" t="n"/>
      <c r="AQ182" s="40" t="n"/>
    </row>
    <row r="183">
      <c r="A183" s="40" t="inlineStr">
        <is>
          <t>ORI180</t>
        </is>
      </c>
      <c r="B183" s="46" t="n"/>
      <c r="C183" s="40" t="n"/>
      <c r="D183" s="40" t="n"/>
      <c r="E183" s="40" t="n"/>
      <c r="F183" s="44" t="n"/>
      <c r="G183" s="40" t="n"/>
      <c r="H183" s="40" t="n"/>
      <c r="I183" s="44">
        <f>IFERROR(EDATE(F183,H183),"")</f>
        <v/>
      </c>
      <c r="J183" s="47" t="n"/>
      <c r="K183" s="40" t="n"/>
      <c r="L183" s="40" t="n"/>
      <c r="M183" s="40" t="n"/>
      <c r="N183" s="40" t="n"/>
      <c r="O183" s="40">
        <f>IF($B183="","",IFERROR(INDEX('CHUYÊN CẦN'!$C$3:$N$202,MATCH($A183,'CHUYÊN CẦN'!$A$3:$A$202,0),MONTH(TODAY())),0))</f>
        <v/>
      </c>
      <c r="P183" s="44">
        <f>IF($B183="","",IF(SUMPRODUCT(MAX(('NHẬT KÝ CSKH'!$B$3:$B$1000=$A183)*'NHẬT KÝ CSKH'!$A$3:$A$1000))=0,"",SUMPRODUCT(MAX(('NHẬT KÝ CSKH'!$B$3:$B$1000=$A183)*'NHẬT KÝ CSKH'!$A$3:$A$1000))))</f>
        <v/>
      </c>
      <c r="Q183" s="40">
        <f>IF($B183="","",IF($I183="","",$I183-TODAY()))</f>
        <v/>
      </c>
      <c r="R183" s="40">
        <f>IF($B183="","",IF($O183&gt;=3,2,0)+IF($K183="Còn nợ",2,0)+IF(AND($N183="Đang học",$Q183&lt;&gt;"",$Q183&gt;=0,$Q183&lt;=30),1,0)+IF($P183="",1,IF(TODAY()-$P183&gt;60,1,0)))</f>
        <v/>
      </c>
      <c r="S183" s="40">
        <f>IF($B183="","",IF($R183&gt;=3,"CAO",IF($R183&gt;=1,"TRUNG BÌNH","THẤP")))</f>
        <v/>
      </c>
      <c r="T183" s="40" t="n"/>
      <c r="U183" s="40" t="n"/>
      <c r="V183" s="40" t="n"/>
      <c r="W183" s="40" t="n"/>
      <c r="X183" s="40" t="n"/>
      <c r="Y183" s="40" t="n"/>
      <c r="Z183" s="40" t="n"/>
      <c r="AA183" s="40" t="n"/>
      <c r="AB183" s="40" t="n"/>
      <c r="AC183" s="40" t="n"/>
      <c r="AD183" s="40" t="n"/>
      <c r="AE183" s="40" t="n"/>
      <c r="AF183" s="40" t="n"/>
      <c r="AG183" s="40" t="n"/>
      <c r="AH183" s="40" t="n"/>
      <c r="AI183" s="40" t="n"/>
      <c r="AJ183" s="40" t="n"/>
      <c r="AK183" s="40" t="n"/>
      <c r="AL183" s="40" t="n"/>
      <c r="AM183" s="40" t="n"/>
      <c r="AN183" s="40" t="n"/>
      <c r="AO183" s="40" t="n"/>
      <c r="AP183" s="40" t="n"/>
      <c r="AQ183" s="40" t="n"/>
    </row>
    <row r="184">
      <c r="A184" s="40" t="inlineStr">
        <is>
          <t>ORI181</t>
        </is>
      </c>
      <c r="B184" s="46" t="n"/>
      <c r="C184" s="40" t="n"/>
      <c r="D184" s="40" t="n"/>
      <c r="E184" s="40" t="n"/>
      <c r="F184" s="44" t="n"/>
      <c r="G184" s="40" t="n"/>
      <c r="H184" s="40" t="n"/>
      <c r="I184" s="44">
        <f>IFERROR(EDATE(F184,H184),"")</f>
        <v/>
      </c>
      <c r="J184" s="47" t="n"/>
      <c r="K184" s="40" t="n"/>
      <c r="L184" s="40" t="n"/>
      <c r="M184" s="40" t="n"/>
      <c r="N184" s="40" t="n"/>
      <c r="O184" s="40">
        <f>IF($B184="","",IFERROR(INDEX('CHUYÊN CẦN'!$C$3:$N$202,MATCH($A184,'CHUYÊN CẦN'!$A$3:$A$202,0),MONTH(TODAY())),0))</f>
        <v/>
      </c>
      <c r="P184" s="44">
        <f>IF($B184="","",IF(SUMPRODUCT(MAX(('NHẬT KÝ CSKH'!$B$3:$B$1000=$A184)*'NHẬT KÝ CSKH'!$A$3:$A$1000))=0,"",SUMPRODUCT(MAX(('NHẬT KÝ CSKH'!$B$3:$B$1000=$A184)*'NHẬT KÝ CSKH'!$A$3:$A$1000))))</f>
        <v/>
      </c>
      <c r="Q184" s="40">
        <f>IF($B184="","",IF($I184="","",$I184-TODAY()))</f>
        <v/>
      </c>
      <c r="R184" s="40">
        <f>IF($B184="","",IF($O184&gt;=3,2,0)+IF($K184="Còn nợ",2,0)+IF(AND($N184="Đang học",$Q184&lt;&gt;"",$Q184&gt;=0,$Q184&lt;=30),1,0)+IF($P184="",1,IF(TODAY()-$P184&gt;60,1,0)))</f>
        <v/>
      </c>
      <c r="S184" s="40">
        <f>IF($B184="","",IF($R184&gt;=3,"CAO",IF($R184&gt;=1,"TRUNG BÌNH","THẤP")))</f>
        <v/>
      </c>
      <c r="T184" s="40" t="n"/>
      <c r="U184" s="40" t="n"/>
      <c r="V184" s="40" t="n"/>
      <c r="W184" s="40" t="n"/>
      <c r="X184" s="40" t="n"/>
      <c r="Y184" s="40" t="n"/>
      <c r="Z184" s="40" t="n"/>
      <c r="AA184" s="40" t="n"/>
      <c r="AB184" s="40" t="n"/>
      <c r="AC184" s="40" t="n"/>
      <c r="AD184" s="40" t="n"/>
      <c r="AE184" s="40" t="n"/>
      <c r="AF184" s="40" t="n"/>
      <c r="AG184" s="40" t="n"/>
      <c r="AH184" s="40" t="n"/>
      <c r="AI184" s="40" t="n"/>
      <c r="AJ184" s="40" t="n"/>
      <c r="AK184" s="40" t="n"/>
      <c r="AL184" s="40" t="n"/>
      <c r="AM184" s="40" t="n"/>
      <c r="AN184" s="40" t="n"/>
      <c r="AO184" s="40" t="n"/>
      <c r="AP184" s="40" t="n"/>
      <c r="AQ184" s="40" t="n"/>
    </row>
    <row r="185">
      <c r="A185" s="40" t="inlineStr">
        <is>
          <t>ORI182</t>
        </is>
      </c>
      <c r="B185" s="46" t="n"/>
      <c r="C185" s="40" t="n"/>
      <c r="D185" s="40" t="n"/>
      <c r="E185" s="40" t="n"/>
      <c r="F185" s="44" t="n"/>
      <c r="G185" s="40" t="n"/>
      <c r="H185" s="40" t="n"/>
      <c r="I185" s="44">
        <f>IFERROR(EDATE(F185,H185),"")</f>
        <v/>
      </c>
      <c r="J185" s="47" t="n"/>
      <c r="K185" s="40" t="n"/>
      <c r="L185" s="40" t="n"/>
      <c r="M185" s="40" t="n"/>
      <c r="N185" s="40" t="n"/>
      <c r="O185" s="40">
        <f>IF($B185="","",IFERROR(INDEX('CHUYÊN CẦN'!$C$3:$N$202,MATCH($A185,'CHUYÊN CẦN'!$A$3:$A$202,0),MONTH(TODAY())),0))</f>
        <v/>
      </c>
      <c r="P185" s="44">
        <f>IF($B185="","",IF(SUMPRODUCT(MAX(('NHẬT KÝ CSKH'!$B$3:$B$1000=$A185)*'NHẬT KÝ CSKH'!$A$3:$A$1000))=0,"",SUMPRODUCT(MAX(('NHẬT KÝ CSKH'!$B$3:$B$1000=$A185)*'NHẬT KÝ CSKH'!$A$3:$A$1000))))</f>
        <v/>
      </c>
      <c r="Q185" s="40">
        <f>IF($B185="","",IF($I185="","",$I185-TODAY()))</f>
        <v/>
      </c>
      <c r="R185" s="40">
        <f>IF($B185="","",IF($O185&gt;=3,2,0)+IF($K185="Còn nợ",2,0)+IF(AND($N185="Đang học",$Q185&lt;&gt;"",$Q185&gt;=0,$Q185&lt;=30),1,0)+IF($P185="",1,IF(TODAY()-$P185&gt;60,1,0)))</f>
        <v/>
      </c>
      <c r="S185" s="40">
        <f>IF($B185="","",IF($R185&gt;=3,"CAO",IF($R185&gt;=1,"TRUNG BÌNH","THẤP")))</f>
        <v/>
      </c>
      <c r="T185" s="40" t="n"/>
      <c r="U185" s="40" t="n"/>
      <c r="V185" s="40" t="n"/>
      <c r="W185" s="40" t="n"/>
      <c r="X185" s="40" t="n"/>
      <c r="Y185" s="40" t="n"/>
      <c r="Z185" s="40" t="n"/>
      <c r="AA185" s="40" t="n"/>
      <c r="AB185" s="40" t="n"/>
      <c r="AC185" s="40" t="n"/>
      <c r="AD185" s="40" t="n"/>
      <c r="AE185" s="40" t="n"/>
      <c r="AF185" s="40" t="n"/>
      <c r="AG185" s="40" t="n"/>
      <c r="AH185" s="40" t="n"/>
      <c r="AI185" s="40" t="n"/>
      <c r="AJ185" s="40" t="n"/>
      <c r="AK185" s="40" t="n"/>
      <c r="AL185" s="40" t="n"/>
      <c r="AM185" s="40" t="n"/>
      <c r="AN185" s="40" t="n"/>
      <c r="AO185" s="40" t="n"/>
      <c r="AP185" s="40" t="n"/>
      <c r="AQ185" s="40" t="n"/>
    </row>
    <row r="186">
      <c r="A186" s="40" t="inlineStr">
        <is>
          <t>ORI183</t>
        </is>
      </c>
      <c r="B186" s="46" t="n"/>
      <c r="C186" s="40" t="n"/>
      <c r="D186" s="40" t="n"/>
      <c r="E186" s="40" t="n"/>
      <c r="F186" s="44" t="n"/>
      <c r="G186" s="40" t="n"/>
      <c r="H186" s="40" t="n"/>
      <c r="I186" s="44">
        <f>IFERROR(EDATE(F186,H186),"")</f>
        <v/>
      </c>
      <c r="J186" s="47" t="n"/>
      <c r="K186" s="40" t="n"/>
      <c r="L186" s="40" t="n"/>
      <c r="M186" s="40" t="n"/>
      <c r="N186" s="40" t="n"/>
      <c r="O186" s="40">
        <f>IF($B186="","",IFERROR(INDEX('CHUYÊN CẦN'!$C$3:$N$202,MATCH($A186,'CHUYÊN CẦN'!$A$3:$A$202,0),MONTH(TODAY())),0))</f>
        <v/>
      </c>
      <c r="P186" s="44">
        <f>IF($B186="","",IF(SUMPRODUCT(MAX(('NHẬT KÝ CSKH'!$B$3:$B$1000=$A186)*'NHẬT KÝ CSKH'!$A$3:$A$1000))=0,"",SUMPRODUCT(MAX(('NHẬT KÝ CSKH'!$B$3:$B$1000=$A186)*'NHẬT KÝ CSKH'!$A$3:$A$1000))))</f>
        <v/>
      </c>
      <c r="Q186" s="40">
        <f>IF($B186="","",IF($I186="","",$I186-TODAY()))</f>
        <v/>
      </c>
      <c r="R186" s="40">
        <f>IF($B186="","",IF($O186&gt;=3,2,0)+IF($K186="Còn nợ",2,0)+IF(AND($N186="Đang học",$Q186&lt;&gt;"",$Q186&gt;=0,$Q186&lt;=30),1,0)+IF($P186="",1,IF(TODAY()-$P186&gt;60,1,0)))</f>
        <v/>
      </c>
      <c r="S186" s="40">
        <f>IF($B186="","",IF($R186&gt;=3,"CAO",IF($R186&gt;=1,"TRUNG BÌNH","THẤP")))</f>
        <v/>
      </c>
      <c r="T186" s="40" t="n"/>
      <c r="U186" s="40" t="n"/>
      <c r="V186" s="40" t="n"/>
      <c r="W186" s="40" t="n"/>
      <c r="X186" s="40" t="n"/>
      <c r="Y186" s="40" t="n"/>
      <c r="Z186" s="40" t="n"/>
      <c r="AA186" s="40" t="n"/>
      <c r="AB186" s="40" t="n"/>
      <c r="AC186" s="40" t="n"/>
      <c r="AD186" s="40" t="n"/>
      <c r="AE186" s="40" t="n"/>
      <c r="AF186" s="40" t="n"/>
      <c r="AG186" s="40" t="n"/>
      <c r="AH186" s="40" t="n"/>
      <c r="AI186" s="40" t="n"/>
      <c r="AJ186" s="40" t="n"/>
      <c r="AK186" s="40" t="n"/>
      <c r="AL186" s="40" t="n"/>
      <c r="AM186" s="40" t="n"/>
      <c r="AN186" s="40" t="n"/>
      <c r="AO186" s="40" t="n"/>
      <c r="AP186" s="40" t="n"/>
      <c r="AQ186" s="40" t="n"/>
    </row>
    <row r="187">
      <c r="A187" s="40" t="inlineStr">
        <is>
          <t>ORI184</t>
        </is>
      </c>
      <c r="B187" s="46" t="n"/>
      <c r="C187" s="40" t="n"/>
      <c r="D187" s="40" t="n"/>
      <c r="E187" s="40" t="n"/>
      <c r="F187" s="44" t="n"/>
      <c r="G187" s="40" t="n"/>
      <c r="H187" s="40" t="n"/>
      <c r="I187" s="44">
        <f>IFERROR(EDATE(F187,H187),"")</f>
        <v/>
      </c>
      <c r="J187" s="47" t="n"/>
      <c r="K187" s="40" t="n"/>
      <c r="L187" s="40" t="n"/>
      <c r="M187" s="40" t="n"/>
      <c r="N187" s="40" t="n"/>
      <c r="O187" s="40">
        <f>IF($B187="","",IFERROR(INDEX('CHUYÊN CẦN'!$C$3:$N$202,MATCH($A187,'CHUYÊN CẦN'!$A$3:$A$202,0),MONTH(TODAY())),0))</f>
        <v/>
      </c>
      <c r="P187" s="44">
        <f>IF($B187="","",IF(SUMPRODUCT(MAX(('NHẬT KÝ CSKH'!$B$3:$B$1000=$A187)*'NHẬT KÝ CSKH'!$A$3:$A$1000))=0,"",SUMPRODUCT(MAX(('NHẬT KÝ CSKH'!$B$3:$B$1000=$A187)*'NHẬT KÝ CSKH'!$A$3:$A$1000))))</f>
        <v/>
      </c>
      <c r="Q187" s="40">
        <f>IF($B187="","",IF($I187="","",$I187-TODAY()))</f>
        <v/>
      </c>
      <c r="R187" s="40">
        <f>IF($B187="","",IF($O187&gt;=3,2,0)+IF($K187="Còn nợ",2,0)+IF(AND($N187="Đang học",$Q187&lt;&gt;"",$Q187&gt;=0,$Q187&lt;=30),1,0)+IF($P187="",1,IF(TODAY()-$P187&gt;60,1,0)))</f>
        <v/>
      </c>
      <c r="S187" s="40">
        <f>IF($B187="","",IF($R187&gt;=3,"CAO",IF($R187&gt;=1,"TRUNG BÌNH","THẤP")))</f>
        <v/>
      </c>
      <c r="T187" s="40" t="n"/>
      <c r="U187" s="40" t="n"/>
      <c r="V187" s="40" t="n"/>
      <c r="W187" s="40" t="n"/>
      <c r="X187" s="40" t="n"/>
      <c r="Y187" s="40" t="n"/>
      <c r="Z187" s="40" t="n"/>
      <c r="AA187" s="40" t="n"/>
      <c r="AB187" s="40" t="n"/>
      <c r="AC187" s="40" t="n"/>
      <c r="AD187" s="40" t="n"/>
      <c r="AE187" s="40" t="n"/>
      <c r="AF187" s="40" t="n"/>
      <c r="AG187" s="40" t="n"/>
      <c r="AH187" s="40" t="n"/>
      <c r="AI187" s="40" t="n"/>
      <c r="AJ187" s="40" t="n"/>
      <c r="AK187" s="40" t="n"/>
      <c r="AL187" s="40" t="n"/>
      <c r="AM187" s="40" t="n"/>
      <c r="AN187" s="40" t="n"/>
      <c r="AO187" s="40" t="n"/>
      <c r="AP187" s="40" t="n"/>
      <c r="AQ187" s="40" t="n"/>
    </row>
    <row r="188">
      <c r="A188" s="40" t="inlineStr">
        <is>
          <t>ORI185</t>
        </is>
      </c>
      <c r="B188" s="46" t="n"/>
      <c r="C188" s="40" t="n"/>
      <c r="D188" s="40" t="n"/>
      <c r="E188" s="40" t="n"/>
      <c r="F188" s="44" t="n"/>
      <c r="G188" s="40" t="n"/>
      <c r="H188" s="40" t="n"/>
      <c r="I188" s="44">
        <f>IFERROR(EDATE(F188,H188),"")</f>
        <v/>
      </c>
      <c r="J188" s="47" t="n"/>
      <c r="K188" s="40" t="n"/>
      <c r="L188" s="40" t="n"/>
      <c r="M188" s="40" t="n"/>
      <c r="N188" s="40" t="n"/>
      <c r="O188" s="40">
        <f>IF($B188="","",IFERROR(INDEX('CHUYÊN CẦN'!$C$3:$N$202,MATCH($A188,'CHUYÊN CẦN'!$A$3:$A$202,0),MONTH(TODAY())),0))</f>
        <v/>
      </c>
      <c r="P188" s="44">
        <f>IF($B188="","",IF(SUMPRODUCT(MAX(('NHẬT KÝ CSKH'!$B$3:$B$1000=$A188)*'NHẬT KÝ CSKH'!$A$3:$A$1000))=0,"",SUMPRODUCT(MAX(('NHẬT KÝ CSKH'!$B$3:$B$1000=$A188)*'NHẬT KÝ CSKH'!$A$3:$A$1000))))</f>
        <v/>
      </c>
      <c r="Q188" s="40">
        <f>IF($B188="","",IF($I188="","",$I188-TODAY()))</f>
        <v/>
      </c>
      <c r="R188" s="40">
        <f>IF($B188="","",IF($O188&gt;=3,2,0)+IF($K188="Còn nợ",2,0)+IF(AND($N188="Đang học",$Q188&lt;&gt;"",$Q188&gt;=0,$Q188&lt;=30),1,0)+IF($P188="",1,IF(TODAY()-$P188&gt;60,1,0)))</f>
        <v/>
      </c>
      <c r="S188" s="40">
        <f>IF($B188="","",IF($R188&gt;=3,"CAO",IF($R188&gt;=1,"TRUNG BÌNH","THẤP")))</f>
        <v/>
      </c>
      <c r="T188" s="40" t="n"/>
      <c r="U188" s="40" t="n"/>
      <c r="V188" s="40" t="n"/>
      <c r="W188" s="40" t="n"/>
      <c r="X188" s="40" t="n"/>
      <c r="Y188" s="40" t="n"/>
      <c r="Z188" s="40" t="n"/>
      <c r="AA188" s="40" t="n"/>
      <c r="AB188" s="40" t="n"/>
      <c r="AC188" s="40" t="n"/>
      <c r="AD188" s="40" t="n"/>
      <c r="AE188" s="40" t="n"/>
      <c r="AF188" s="40" t="n"/>
      <c r="AG188" s="40" t="n"/>
      <c r="AH188" s="40" t="n"/>
      <c r="AI188" s="40" t="n"/>
      <c r="AJ188" s="40" t="n"/>
      <c r="AK188" s="40" t="n"/>
      <c r="AL188" s="40" t="n"/>
      <c r="AM188" s="40" t="n"/>
      <c r="AN188" s="40" t="n"/>
      <c r="AO188" s="40" t="n"/>
      <c r="AP188" s="40" t="n"/>
      <c r="AQ188" s="40" t="n"/>
    </row>
    <row r="189">
      <c r="A189" s="40" t="inlineStr">
        <is>
          <t>ORI186</t>
        </is>
      </c>
      <c r="B189" s="46" t="n"/>
      <c r="C189" s="40" t="n"/>
      <c r="D189" s="40" t="n"/>
      <c r="E189" s="40" t="n"/>
      <c r="F189" s="44" t="n"/>
      <c r="G189" s="40" t="n"/>
      <c r="H189" s="40" t="n"/>
      <c r="I189" s="44">
        <f>IFERROR(EDATE(F189,H189),"")</f>
        <v/>
      </c>
      <c r="J189" s="47" t="n"/>
      <c r="K189" s="40" t="n"/>
      <c r="L189" s="40" t="n"/>
      <c r="M189" s="40" t="n"/>
      <c r="N189" s="40" t="n"/>
      <c r="O189" s="40">
        <f>IF($B189="","",IFERROR(INDEX('CHUYÊN CẦN'!$C$3:$N$202,MATCH($A189,'CHUYÊN CẦN'!$A$3:$A$202,0),MONTH(TODAY())),0))</f>
        <v/>
      </c>
      <c r="P189" s="44">
        <f>IF($B189="","",IF(SUMPRODUCT(MAX(('NHẬT KÝ CSKH'!$B$3:$B$1000=$A189)*'NHẬT KÝ CSKH'!$A$3:$A$1000))=0,"",SUMPRODUCT(MAX(('NHẬT KÝ CSKH'!$B$3:$B$1000=$A189)*'NHẬT KÝ CSKH'!$A$3:$A$1000))))</f>
        <v/>
      </c>
      <c r="Q189" s="40">
        <f>IF($B189="","",IF($I189="","",$I189-TODAY()))</f>
        <v/>
      </c>
      <c r="R189" s="40">
        <f>IF($B189="","",IF($O189&gt;=3,2,0)+IF($K189="Còn nợ",2,0)+IF(AND($N189="Đang học",$Q189&lt;&gt;"",$Q189&gt;=0,$Q189&lt;=30),1,0)+IF($P189="",1,IF(TODAY()-$P189&gt;60,1,0)))</f>
        <v/>
      </c>
      <c r="S189" s="40">
        <f>IF($B189="","",IF($R189&gt;=3,"CAO",IF($R189&gt;=1,"TRUNG BÌNH","THẤP")))</f>
        <v/>
      </c>
      <c r="T189" s="40" t="n"/>
      <c r="U189" s="40" t="n"/>
      <c r="V189" s="40" t="n"/>
      <c r="W189" s="40" t="n"/>
      <c r="X189" s="40" t="n"/>
      <c r="Y189" s="40" t="n"/>
      <c r="Z189" s="40" t="n"/>
      <c r="AA189" s="40" t="n"/>
      <c r="AB189" s="40" t="n"/>
      <c r="AC189" s="40" t="n"/>
      <c r="AD189" s="40" t="n"/>
      <c r="AE189" s="40" t="n"/>
      <c r="AF189" s="40" t="n"/>
      <c r="AG189" s="40" t="n"/>
      <c r="AH189" s="40" t="n"/>
      <c r="AI189" s="40" t="n"/>
      <c r="AJ189" s="40" t="n"/>
      <c r="AK189" s="40" t="n"/>
      <c r="AL189" s="40" t="n"/>
      <c r="AM189" s="40" t="n"/>
      <c r="AN189" s="40" t="n"/>
      <c r="AO189" s="40" t="n"/>
      <c r="AP189" s="40" t="n"/>
      <c r="AQ189" s="40" t="n"/>
    </row>
    <row r="190">
      <c r="A190" s="40" t="inlineStr">
        <is>
          <t>ORI187</t>
        </is>
      </c>
      <c r="B190" s="46" t="n"/>
      <c r="C190" s="40" t="n"/>
      <c r="D190" s="40" t="n"/>
      <c r="E190" s="40" t="n"/>
      <c r="F190" s="44" t="n"/>
      <c r="G190" s="40" t="n"/>
      <c r="H190" s="40" t="n"/>
      <c r="I190" s="44">
        <f>IFERROR(EDATE(F190,H190),"")</f>
        <v/>
      </c>
      <c r="J190" s="47" t="n"/>
      <c r="K190" s="40" t="n"/>
      <c r="L190" s="40" t="n"/>
      <c r="M190" s="40" t="n"/>
      <c r="N190" s="40" t="n"/>
      <c r="O190" s="40">
        <f>IF($B190="","",IFERROR(INDEX('CHUYÊN CẦN'!$C$3:$N$202,MATCH($A190,'CHUYÊN CẦN'!$A$3:$A$202,0),MONTH(TODAY())),0))</f>
        <v/>
      </c>
      <c r="P190" s="44">
        <f>IF($B190="","",IF(SUMPRODUCT(MAX(('NHẬT KÝ CSKH'!$B$3:$B$1000=$A190)*'NHẬT KÝ CSKH'!$A$3:$A$1000))=0,"",SUMPRODUCT(MAX(('NHẬT KÝ CSKH'!$B$3:$B$1000=$A190)*'NHẬT KÝ CSKH'!$A$3:$A$1000))))</f>
        <v/>
      </c>
      <c r="Q190" s="40">
        <f>IF($B190="","",IF($I190="","",$I190-TODAY()))</f>
        <v/>
      </c>
      <c r="R190" s="40">
        <f>IF($B190="","",IF($O190&gt;=3,2,0)+IF($K190="Còn nợ",2,0)+IF(AND($N190="Đang học",$Q190&lt;&gt;"",$Q190&gt;=0,$Q190&lt;=30),1,0)+IF($P190="",1,IF(TODAY()-$P190&gt;60,1,0)))</f>
        <v/>
      </c>
      <c r="S190" s="40">
        <f>IF($B190="","",IF($R190&gt;=3,"CAO",IF($R190&gt;=1,"TRUNG BÌNH","THẤP")))</f>
        <v/>
      </c>
      <c r="T190" s="40" t="n"/>
      <c r="U190" s="40" t="n"/>
      <c r="V190" s="40" t="n"/>
      <c r="W190" s="40" t="n"/>
      <c r="X190" s="40" t="n"/>
      <c r="Y190" s="40" t="n"/>
      <c r="Z190" s="40" t="n"/>
      <c r="AA190" s="40" t="n"/>
      <c r="AB190" s="40" t="n"/>
      <c r="AC190" s="40" t="n"/>
      <c r="AD190" s="40" t="n"/>
      <c r="AE190" s="40" t="n"/>
      <c r="AF190" s="40" t="n"/>
      <c r="AG190" s="40" t="n"/>
      <c r="AH190" s="40" t="n"/>
      <c r="AI190" s="40" t="n"/>
      <c r="AJ190" s="40" t="n"/>
      <c r="AK190" s="40" t="n"/>
      <c r="AL190" s="40" t="n"/>
      <c r="AM190" s="40" t="n"/>
      <c r="AN190" s="40" t="n"/>
      <c r="AO190" s="40" t="n"/>
      <c r="AP190" s="40" t="n"/>
      <c r="AQ190" s="40" t="n"/>
    </row>
    <row r="191">
      <c r="A191" s="40" t="inlineStr">
        <is>
          <t>ORI188</t>
        </is>
      </c>
      <c r="B191" s="46" t="n"/>
      <c r="C191" s="40" t="n"/>
      <c r="D191" s="40" t="n"/>
      <c r="E191" s="40" t="n"/>
      <c r="F191" s="44" t="n"/>
      <c r="G191" s="40" t="n"/>
      <c r="H191" s="40" t="n"/>
      <c r="I191" s="44">
        <f>IFERROR(EDATE(F191,H191),"")</f>
        <v/>
      </c>
      <c r="J191" s="47" t="n"/>
      <c r="K191" s="40" t="n"/>
      <c r="L191" s="40" t="n"/>
      <c r="M191" s="40" t="n"/>
      <c r="N191" s="40" t="n"/>
      <c r="O191" s="40">
        <f>IF($B191="","",IFERROR(INDEX('CHUYÊN CẦN'!$C$3:$N$202,MATCH($A191,'CHUYÊN CẦN'!$A$3:$A$202,0),MONTH(TODAY())),0))</f>
        <v/>
      </c>
      <c r="P191" s="44">
        <f>IF($B191="","",IF(SUMPRODUCT(MAX(('NHẬT KÝ CSKH'!$B$3:$B$1000=$A191)*'NHẬT KÝ CSKH'!$A$3:$A$1000))=0,"",SUMPRODUCT(MAX(('NHẬT KÝ CSKH'!$B$3:$B$1000=$A191)*'NHẬT KÝ CSKH'!$A$3:$A$1000))))</f>
        <v/>
      </c>
      <c r="Q191" s="40">
        <f>IF($B191="","",IF($I191="","",$I191-TODAY()))</f>
        <v/>
      </c>
      <c r="R191" s="40">
        <f>IF($B191="","",IF($O191&gt;=3,2,0)+IF($K191="Còn nợ",2,0)+IF(AND($N191="Đang học",$Q191&lt;&gt;"",$Q191&gt;=0,$Q191&lt;=30),1,0)+IF($P191="",1,IF(TODAY()-$P191&gt;60,1,0)))</f>
        <v/>
      </c>
      <c r="S191" s="40">
        <f>IF($B191="","",IF($R191&gt;=3,"CAO",IF($R191&gt;=1,"TRUNG BÌNH","THẤP")))</f>
        <v/>
      </c>
      <c r="T191" s="40" t="n"/>
      <c r="U191" s="40" t="n"/>
      <c r="V191" s="40" t="n"/>
      <c r="W191" s="40" t="n"/>
      <c r="X191" s="40" t="n"/>
      <c r="Y191" s="40" t="n"/>
      <c r="Z191" s="40" t="n"/>
      <c r="AA191" s="40" t="n"/>
      <c r="AB191" s="40" t="n"/>
      <c r="AC191" s="40" t="n"/>
      <c r="AD191" s="40" t="n"/>
      <c r="AE191" s="40" t="n"/>
      <c r="AF191" s="40" t="n"/>
      <c r="AG191" s="40" t="n"/>
      <c r="AH191" s="40" t="n"/>
      <c r="AI191" s="40" t="n"/>
      <c r="AJ191" s="40" t="n"/>
      <c r="AK191" s="40" t="n"/>
      <c r="AL191" s="40" t="n"/>
      <c r="AM191" s="40" t="n"/>
      <c r="AN191" s="40" t="n"/>
      <c r="AO191" s="40" t="n"/>
      <c r="AP191" s="40" t="n"/>
      <c r="AQ191" s="40" t="n"/>
    </row>
    <row r="192">
      <c r="A192" s="40" t="inlineStr">
        <is>
          <t>ORI189</t>
        </is>
      </c>
      <c r="B192" s="46" t="n"/>
      <c r="C192" s="40" t="n"/>
      <c r="D192" s="40" t="n"/>
      <c r="E192" s="40" t="n"/>
      <c r="F192" s="44" t="n"/>
      <c r="G192" s="40" t="n"/>
      <c r="H192" s="40" t="n"/>
      <c r="I192" s="44">
        <f>IFERROR(EDATE(F192,H192),"")</f>
        <v/>
      </c>
      <c r="J192" s="47" t="n"/>
      <c r="K192" s="40" t="n"/>
      <c r="L192" s="40" t="n"/>
      <c r="M192" s="40" t="n"/>
      <c r="N192" s="40" t="n"/>
      <c r="O192" s="40">
        <f>IF($B192="","",IFERROR(INDEX('CHUYÊN CẦN'!$C$3:$N$202,MATCH($A192,'CHUYÊN CẦN'!$A$3:$A$202,0),MONTH(TODAY())),0))</f>
        <v/>
      </c>
      <c r="P192" s="44">
        <f>IF($B192="","",IF(SUMPRODUCT(MAX(('NHẬT KÝ CSKH'!$B$3:$B$1000=$A192)*'NHẬT KÝ CSKH'!$A$3:$A$1000))=0,"",SUMPRODUCT(MAX(('NHẬT KÝ CSKH'!$B$3:$B$1000=$A192)*'NHẬT KÝ CSKH'!$A$3:$A$1000))))</f>
        <v/>
      </c>
      <c r="Q192" s="40">
        <f>IF($B192="","",IF($I192="","",$I192-TODAY()))</f>
        <v/>
      </c>
      <c r="R192" s="40">
        <f>IF($B192="","",IF($O192&gt;=3,2,0)+IF($K192="Còn nợ",2,0)+IF(AND($N192="Đang học",$Q192&lt;&gt;"",$Q192&gt;=0,$Q192&lt;=30),1,0)+IF($P192="",1,IF(TODAY()-$P192&gt;60,1,0)))</f>
        <v/>
      </c>
      <c r="S192" s="40">
        <f>IF($B192="","",IF($R192&gt;=3,"CAO",IF($R192&gt;=1,"TRUNG BÌNH","THẤP")))</f>
        <v/>
      </c>
      <c r="T192" s="40" t="n"/>
      <c r="U192" s="40" t="n"/>
      <c r="V192" s="40" t="n"/>
      <c r="W192" s="40" t="n"/>
      <c r="X192" s="40" t="n"/>
      <c r="Y192" s="40" t="n"/>
      <c r="Z192" s="40" t="n"/>
      <c r="AA192" s="40" t="n"/>
      <c r="AB192" s="40" t="n"/>
      <c r="AC192" s="40" t="n"/>
      <c r="AD192" s="40" t="n"/>
      <c r="AE192" s="40" t="n"/>
      <c r="AF192" s="40" t="n"/>
      <c r="AG192" s="40" t="n"/>
      <c r="AH192" s="40" t="n"/>
      <c r="AI192" s="40" t="n"/>
      <c r="AJ192" s="40" t="n"/>
      <c r="AK192" s="40" t="n"/>
      <c r="AL192" s="40" t="n"/>
      <c r="AM192" s="40" t="n"/>
      <c r="AN192" s="40" t="n"/>
      <c r="AO192" s="40" t="n"/>
      <c r="AP192" s="40" t="n"/>
      <c r="AQ192" s="40" t="n"/>
    </row>
    <row r="193">
      <c r="A193" s="40" t="inlineStr">
        <is>
          <t>ORI190</t>
        </is>
      </c>
      <c r="B193" s="46" t="n"/>
      <c r="C193" s="40" t="n"/>
      <c r="D193" s="40" t="n"/>
      <c r="E193" s="40" t="n"/>
      <c r="F193" s="44" t="n"/>
      <c r="G193" s="40" t="n"/>
      <c r="H193" s="40" t="n"/>
      <c r="I193" s="44">
        <f>IFERROR(EDATE(F193,H193),"")</f>
        <v/>
      </c>
      <c r="J193" s="47" t="n"/>
      <c r="K193" s="40" t="n"/>
      <c r="L193" s="40" t="n"/>
      <c r="M193" s="40" t="n"/>
      <c r="N193" s="40" t="n"/>
      <c r="O193" s="40">
        <f>IF($B193="","",IFERROR(INDEX('CHUYÊN CẦN'!$C$3:$N$202,MATCH($A193,'CHUYÊN CẦN'!$A$3:$A$202,0),MONTH(TODAY())),0))</f>
        <v/>
      </c>
      <c r="P193" s="44">
        <f>IF($B193="","",IF(SUMPRODUCT(MAX(('NHẬT KÝ CSKH'!$B$3:$B$1000=$A193)*'NHẬT KÝ CSKH'!$A$3:$A$1000))=0,"",SUMPRODUCT(MAX(('NHẬT KÝ CSKH'!$B$3:$B$1000=$A193)*'NHẬT KÝ CSKH'!$A$3:$A$1000))))</f>
        <v/>
      </c>
      <c r="Q193" s="40">
        <f>IF($B193="","",IF($I193="","",$I193-TODAY()))</f>
        <v/>
      </c>
      <c r="R193" s="40">
        <f>IF($B193="","",IF($O193&gt;=3,2,0)+IF($K193="Còn nợ",2,0)+IF(AND($N193="Đang học",$Q193&lt;&gt;"",$Q193&gt;=0,$Q193&lt;=30),1,0)+IF($P193="",1,IF(TODAY()-$P193&gt;60,1,0)))</f>
        <v/>
      </c>
      <c r="S193" s="40">
        <f>IF($B193="","",IF($R193&gt;=3,"CAO",IF($R193&gt;=1,"TRUNG BÌNH","THẤP")))</f>
        <v/>
      </c>
      <c r="T193" s="40" t="n"/>
      <c r="U193" s="40" t="n"/>
      <c r="V193" s="40" t="n"/>
      <c r="W193" s="40" t="n"/>
      <c r="X193" s="40" t="n"/>
      <c r="Y193" s="40" t="n"/>
      <c r="Z193" s="40" t="n"/>
      <c r="AA193" s="40" t="n"/>
      <c r="AB193" s="40" t="n"/>
      <c r="AC193" s="40" t="n"/>
      <c r="AD193" s="40" t="n"/>
      <c r="AE193" s="40" t="n"/>
      <c r="AF193" s="40" t="n"/>
      <c r="AG193" s="40" t="n"/>
      <c r="AH193" s="40" t="n"/>
      <c r="AI193" s="40" t="n"/>
      <c r="AJ193" s="40" t="n"/>
      <c r="AK193" s="40" t="n"/>
      <c r="AL193" s="40" t="n"/>
      <c r="AM193" s="40" t="n"/>
      <c r="AN193" s="40" t="n"/>
      <c r="AO193" s="40" t="n"/>
      <c r="AP193" s="40" t="n"/>
      <c r="AQ193" s="40" t="n"/>
    </row>
    <row r="194">
      <c r="A194" s="40" t="inlineStr">
        <is>
          <t>ORI191</t>
        </is>
      </c>
      <c r="B194" s="46" t="n"/>
      <c r="C194" s="40" t="n"/>
      <c r="D194" s="40" t="n"/>
      <c r="E194" s="40" t="n"/>
      <c r="F194" s="44" t="n"/>
      <c r="G194" s="40" t="n"/>
      <c r="H194" s="40" t="n"/>
      <c r="I194" s="44">
        <f>IFERROR(EDATE(F194,H194),"")</f>
        <v/>
      </c>
      <c r="J194" s="47" t="n"/>
      <c r="K194" s="40" t="n"/>
      <c r="L194" s="40" t="n"/>
      <c r="M194" s="40" t="n"/>
      <c r="N194" s="40" t="n"/>
      <c r="O194" s="40">
        <f>IF($B194="","",IFERROR(INDEX('CHUYÊN CẦN'!$C$3:$N$202,MATCH($A194,'CHUYÊN CẦN'!$A$3:$A$202,0),MONTH(TODAY())),0))</f>
        <v/>
      </c>
      <c r="P194" s="44">
        <f>IF($B194="","",IF(SUMPRODUCT(MAX(('NHẬT KÝ CSKH'!$B$3:$B$1000=$A194)*'NHẬT KÝ CSKH'!$A$3:$A$1000))=0,"",SUMPRODUCT(MAX(('NHẬT KÝ CSKH'!$B$3:$B$1000=$A194)*'NHẬT KÝ CSKH'!$A$3:$A$1000))))</f>
        <v/>
      </c>
      <c r="Q194" s="40">
        <f>IF($B194="","",IF($I194="","",$I194-TODAY()))</f>
        <v/>
      </c>
      <c r="R194" s="40">
        <f>IF($B194="","",IF($O194&gt;=3,2,0)+IF($K194="Còn nợ",2,0)+IF(AND($N194="Đang học",$Q194&lt;&gt;"",$Q194&gt;=0,$Q194&lt;=30),1,0)+IF($P194="",1,IF(TODAY()-$P194&gt;60,1,0)))</f>
        <v/>
      </c>
      <c r="S194" s="40">
        <f>IF($B194="","",IF($R194&gt;=3,"CAO",IF($R194&gt;=1,"TRUNG BÌNH","THẤP")))</f>
        <v/>
      </c>
      <c r="T194" s="40" t="n"/>
      <c r="U194" s="40" t="n"/>
      <c r="V194" s="40" t="n"/>
      <c r="W194" s="40" t="n"/>
      <c r="X194" s="40" t="n"/>
      <c r="Y194" s="40" t="n"/>
      <c r="Z194" s="40" t="n"/>
      <c r="AA194" s="40" t="n"/>
      <c r="AB194" s="40" t="n"/>
      <c r="AC194" s="40" t="n"/>
      <c r="AD194" s="40" t="n"/>
      <c r="AE194" s="40" t="n"/>
      <c r="AF194" s="40" t="n"/>
      <c r="AG194" s="40" t="n"/>
      <c r="AH194" s="40" t="n"/>
      <c r="AI194" s="40" t="n"/>
      <c r="AJ194" s="40" t="n"/>
      <c r="AK194" s="40" t="n"/>
      <c r="AL194" s="40" t="n"/>
      <c r="AM194" s="40" t="n"/>
      <c r="AN194" s="40" t="n"/>
      <c r="AO194" s="40" t="n"/>
      <c r="AP194" s="40" t="n"/>
      <c r="AQ194" s="40" t="n"/>
    </row>
    <row r="195">
      <c r="A195" s="40" t="inlineStr">
        <is>
          <t>ORI192</t>
        </is>
      </c>
      <c r="B195" s="46" t="n"/>
      <c r="C195" s="40" t="n"/>
      <c r="D195" s="40" t="n"/>
      <c r="E195" s="40" t="n"/>
      <c r="F195" s="44" t="n"/>
      <c r="G195" s="40" t="n"/>
      <c r="H195" s="40" t="n"/>
      <c r="I195" s="44">
        <f>IFERROR(EDATE(F195,H195),"")</f>
        <v/>
      </c>
      <c r="J195" s="47" t="n"/>
      <c r="K195" s="40" t="n"/>
      <c r="L195" s="40" t="n"/>
      <c r="M195" s="40" t="n"/>
      <c r="N195" s="40" t="n"/>
      <c r="O195" s="40">
        <f>IF($B195="","",IFERROR(INDEX('CHUYÊN CẦN'!$C$3:$N$202,MATCH($A195,'CHUYÊN CẦN'!$A$3:$A$202,0),MONTH(TODAY())),0))</f>
        <v/>
      </c>
      <c r="P195" s="44">
        <f>IF($B195="","",IF(SUMPRODUCT(MAX(('NHẬT KÝ CSKH'!$B$3:$B$1000=$A195)*'NHẬT KÝ CSKH'!$A$3:$A$1000))=0,"",SUMPRODUCT(MAX(('NHẬT KÝ CSKH'!$B$3:$B$1000=$A195)*'NHẬT KÝ CSKH'!$A$3:$A$1000))))</f>
        <v/>
      </c>
      <c r="Q195" s="40">
        <f>IF($B195="","",IF($I195="","",$I195-TODAY()))</f>
        <v/>
      </c>
      <c r="R195" s="40">
        <f>IF($B195="","",IF($O195&gt;=3,2,0)+IF($K195="Còn nợ",2,0)+IF(AND($N195="Đang học",$Q195&lt;&gt;"",$Q195&gt;=0,$Q195&lt;=30),1,0)+IF($P195="",1,IF(TODAY()-$P195&gt;60,1,0)))</f>
        <v/>
      </c>
      <c r="S195" s="40">
        <f>IF($B195="","",IF($R195&gt;=3,"CAO",IF($R195&gt;=1,"TRUNG BÌNH","THẤP")))</f>
        <v/>
      </c>
      <c r="T195" s="40" t="n"/>
      <c r="U195" s="40" t="n"/>
      <c r="V195" s="40" t="n"/>
      <c r="W195" s="40" t="n"/>
      <c r="X195" s="40" t="n"/>
      <c r="Y195" s="40" t="n"/>
      <c r="Z195" s="40" t="n"/>
      <c r="AA195" s="40" t="n"/>
      <c r="AB195" s="40" t="n"/>
      <c r="AC195" s="40" t="n"/>
      <c r="AD195" s="40" t="n"/>
      <c r="AE195" s="40" t="n"/>
      <c r="AF195" s="40" t="n"/>
      <c r="AG195" s="40" t="n"/>
      <c r="AH195" s="40" t="n"/>
      <c r="AI195" s="40" t="n"/>
      <c r="AJ195" s="40" t="n"/>
      <c r="AK195" s="40" t="n"/>
      <c r="AL195" s="40" t="n"/>
      <c r="AM195" s="40" t="n"/>
      <c r="AN195" s="40" t="n"/>
      <c r="AO195" s="40" t="n"/>
      <c r="AP195" s="40" t="n"/>
      <c r="AQ195" s="40" t="n"/>
    </row>
    <row r="196">
      <c r="A196" s="40" t="inlineStr">
        <is>
          <t>ORI193</t>
        </is>
      </c>
      <c r="B196" s="46" t="n"/>
      <c r="C196" s="40" t="n"/>
      <c r="D196" s="40" t="n"/>
      <c r="E196" s="40" t="n"/>
      <c r="F196" s="44" t="n"/>
      <c r="G196" s="40" t="n"/>
      <c r="H196" s="40" t="n"/>
      <c r="I196" s="44">
        <f>IFERROR(EDATE(F196,H196),"")</f>
        <v/>
      </c>
      <c r="J196" s="47" t="n"/>
      <c r="K196" s="40" t="n"/>
      <c r="L196" s="40" t="n"/>
      <c r="M196" s="40" t="n"/>
      <c r="N196" s="40" t="n"/>
      <c r="O196" s="40">
        <f>IF($B196="","",IFERROR(INDEX('CHUYÊN CẦN'!$C$3:$N$202,MATCH($A196,'CHUYÊN CẦN'!$A$3:$A$202,0),MONTH(TODAY())),0))</f>
        <v/>
      </c>
      <c r="P196" s="44">
        <f>IF($B196="","",IF(SUMPRODUCT(MAX(('NHẬT KÝ CSKH'!$B$3:$B$1000=$A196)*'NHẬT KÝ CSKH'!$A$3:$A$1000))=0,"",SUMPRODUCT(MAX(('NHẬT KÝ CSKH'!$B$3:$B$1000=$A196)*'NHẬT KÝ CSKH'!$A$3:$A$1000))))</f>
        <v/>
      </c>
      <c r="Q196" s="40">
        <f>IF($B196="","",IF($I196="","",$I196-TODAY()))</f>
        <v/>
      </c>
      <c r="R196" s="40">
        <f>IF($B196="","",IF($O196&gt;=3,2,0)+IF($K196="Còn nợ",2,0)+IF(AND($N196="Đang học",$Q196&lt;&gt;"",$Q196&gt;=0,$Q196&lt;=30),1,0)+IF($P196="",1,IF(TODAY()-$P196&gt;60,1,0)))</f>
        <v/>
      </c>
      <c r="S196" s="40">
        <f>IF($B196="","",IF($R196&gt;=3,"CAO",IF($R196&gt;=1,"TRUNG BÌNH","THẤP")))</f>
        <v/>
      </c>
      <c r="T196" s="40" t="n"/>
      <c r="U196" s="40" t="n"/>
      <c r="V196" s="40" t="n"/>
      <c r="W196" s="40" t="n"/>
      <c r="X196" s="40" t="n"/>
      <c r="Y196" s="40" t="n"/>
      <c r="Z196" s="40" t="n"/>
      <c r="AA196" s="40" t="n"/>
      <c r="AB196" s="40" t="n"/>
      <c r="AC196" s="40" t="n"/>
      <c r="AD196" s="40" t="n"/>
      <c r="AE196" s="40" t="n"/>
      <c r="AF196" s="40" t="n"/>
      <c r="AG196" s="40" t="n"/>
      <c r="AH196" s="40" t="n"/>
      <c r="AI196" s="40" t="n"/>
      <c r="AJ196" s="40" t="n"/>
      <c r="AK196" s="40" t="n"/>
      <c r="AL196" s="40" t="n"/>
      <c r="AM196" s="40" t="n"/>
      <c r="AN196" s="40" t="n"/>
      <c r="AO196" s="40" t="n"/>
      <c r="AP196" s="40" t="n"/>
      <c r="AQ196" s="40" t="n"/>
    </row>
    <row r="197">
      <c r="A197" s="40" t="inlineStr">
        <is>
          <t>ORI194</t>
        </is>
      </c>
      <c r="B197" s="46" t="n"/>
      <c r="C197" s="40" t="n"/>
      <c r="D197" s="40" t="n"/>
      <c r="E197" s="40" t="n"/>
      <c r="F197" s="44" t="n"/>
      <c r="G197" s="40" t="n"/>
      <c r="H197" s="40" t="n"/>
      <c r="I197" s="44">
        <f>IFERROR(EDATE(F197,H197),"")</f>
        <v/>
      </c>
      <c r="J197" s="47" t="n"/>
      <c r="K197" s="40" t="n"/>
      <c r="L197" s="40" t="n"/>
      <c r="M197" s="40" t="n"/>
      <c r="N197" s="40" t="n"/>
      <c r="O197" s="40">
        <f>IF($B197="","",IFERROR(INDEX('CHUYÊN CẦN'!$C$3:$N$202,MATCH($A197,'CHUYÊN CẦN'!$A$3:$A$202,0),MONTH(TODAY())),0))</f>
        <v/>
      </c>
      <c r="P197" s="44">
        <f>IF($B197="","",IF(SUMPRODUCT(MAX(('NHẬT KÝ CSKH'!$B$3:$B$1000=$A197)*'NHẬT KÝ CSKH'!$A$3:$A$1000))=0,"",SUMPRODUCT(MAX(('NHẬT KÝ CSKH'!$B$3:$B$1000=$A197)*'NHẬT KÝ CSKH'!$A$3:$A$1000))))</f>
        <v/>
      </c>
      <c r="Q197" s="40">
        <f>IF($B197="","",IF($I197="","",$I197-TODAY()))</f>
        <v/>
      </c>
      <c r="R197" s="40">
        <f>IF($B197="","",IF($O197&gt;=3,2,0)+IF($K197="Còn nợ",2,0)+IF(AND($N197="Đang học",$Q197&lt;&gt;"",$Q197&gt;=0,$Q197&lt;=30),1,0)+IF($P197="",1,IF(TODAY()-$P197&gt;60,1,0)))</f>
        <v/>
      </c>
      <c r="S197" s="40">
        <f>IF($B197="","",IF($R197&gt;=3,"CAO",IF($R197&gt;=1,"TRUNG BÌNH","THẤP")))</f>
        <v/>
      </c>
      <c r="T197" s="40" t="n"/>
      <c r="U197" s="40" t="n"/>
      <c r="V197" s="40" t="n"/>
      <c r="W197" s="40" t="n"/>
      <c r="X197" s="40" t="n"/>
      <c r="Y197" s="40" t="n"/>
      <c r="Z197" s="40" t="n"/>
      <c r="AA197" s="40" t="n"/>
      <c r="AB197" s="40" t="n"/>
      <c r="AC197" s="40" t="n"/>
      <c r="AD197" s="40" t="n"/>
      <c r="AE197" s="40" t="n"/>
      <c r="AF197" s="40" t="n"/>
      <c r="AG197" s="40" t="n"/>
      <c r="AH197" s="40" t="n"/>
      <c r="AI197" s="40" t="n"/>
      <c r="AJ197" s="40" t="n"/>
      <c r="AK197" s="40" t="n"/>
      <c r="AL197" s="40" t="n"/>
      <c r="AM197" s="40" t="n"/>
      <c r="AN197" s="40" t="n"/>
      <c r="AO197" s="40" t="n"/>
      <c r="AP197" s="40" t="n"/>
      <c r="AQ197" s="40" t="n"/>
    </row>
    <row r="198">
      <c r="A198" s="40" t="inlineStr">
        <is>
          <t>ORI195</t>
        </is>
      </c>
      <c r="B198" s="46" t="n"/>
      <c r="C198" s="40" t="n"/>
      <c r="D198" s="40" t="n"/>
      <c r="E198" s="40" t="n"/>
      <c r="F198" s="44" t="n"/>
      <c r="G198" s="40" t="n"/>
      <c r="H198" s="40" t="n"/>
      <c r="I198" s="44">
        <f>IFERROR(EDATE(F198,H198),"")</f>
        <v/>
      </c>
      <c r="J198" s="47" t="n"/>
      <c r="K198" s="40" t="n"/>
      <c r="L198" s="40" t="n"/>
      <c r="M198" s="40" t="n"/>
      <c r="N198" s="40" t="n"/>
      <c r="O198" s="40">
        <f>IF($B198="","",IFERROR(INDEX('CHUYÊN CẦN'!$C$3:$N$202,MATCH($A198,'CHUYÊN CẦN'!$A$3:$A$202,0),MONTH(TODAY())),0))</f>
        <v/>
      </c>
      <c r="P198" s="44">
        <f>IF($B198="","",IF(SUMPRODUCT(MAX(('NHẬT KÝ CSKH'!$B$3:$B$1000=$A198)*'NHẬT KÝ CSKH'!$A$3:$A$1000))=0,"",SUMPRODUCT(MAX(('NHẬT KÝ CSKH'!$B$3:$B$1000=$A198)*'NHẬT KÝ CSKH'!$A$3:$A$1000))))</f>
        <v/>
      </c>
      <c r="Q198" s="40">
        <f>IF($B198="","",IF($I198="","",$I198-TODAY()))</f>
        <v/>
      </c>
      <c r="R198" s="40">
        <f>IF($B198="","",IF($O198&gt;=3,2,0)+IF($K198="Còn nợ",2,0)+IF(AND($N198="Đang học",$Q198&lt;&gt;"",$Q198&gt;=0,$Q198&lt;=30),1,0)+IF($P198="",1,IF(TODAY()-$P198&gt;60,1,0)))</f>
        <v/>
      </c>
      <c r="S198" s="40">
        <f>IF($B198="","",IF($R198&gt;=3,"CAO",IF($R198&gt;=1,"TRUNG BÌNH","THẤP")))</f>
        <v/>
      </c>
      <c r="T198" s="40" t="n"/>
      <c r="U198" s="40" t="n"/>
      <c r="V198" s="40" t="n"/>
      <c r="W198" s="40" t="n"/>
      <c r="X198" s="40" t="n"/>
      <c r="Y198" s="40" t="n"/>
      <c r="Z198" s="40" t="n"/>
      <c r="AA198" s="40" t="n"/>
      <c r="AB198" s="40" t="n"/>
      <c r="AC198" s="40" t="n"/>
      <c r="AD198" s="40" t="n"/>
      <c r="AE198" s="40" t="n"/>
      <c r="AF198" s="40" t="n"/>
      <c r="AG198" s="40" t="n"/>
      <c r="AH198" s="40" t="n"/>
      <c r="AI198" s="40" t="n"/>
      <c r="AJ198" s="40" t="n"/>
      <c r="AK198" s="40" t="n"/>
      <c r="AL198" s="40" t="n"/>
      <c r="AM198" s="40" t="n"/>
      <c r="AN198" s="40" t="n"/>
      <c r="AO198" s="40" t="n"/>
      <c r="AP198" s="40" t="n"/>
      <c r="AQ198" s="40" t="n"/>
    </row>
    <row r="199">
      <c r="A199" s="40" t="inlineStr">
        <is>
          <t>ORI196</t>
        </is>
      </c>
      <c r="B199" s="46" t="n"/>
      <c r="C199" s="40" t="n"/>
      <c r="D199" s="40" t="n"/>
      <c r="E199" s="40" t="n"/>
      <c r="F199" s="44" t="n"/>
      <c r="G199" s="40" t="n"/>
      <c r="H199" s="40" t="n"/>
      <c r="I199" s="44">
        <f>IFERROR(EDATE(F199,H199),"")</f>
        <v/>
      </c>
      <c r="J199" s="47" t="n"/>
      <c r="K199" s="40" t="n"/>
      <c r="L199" s="40" t="n"/>
      <c r="M199" s="40" t="n"/>
      <c r="N199" s="40" t="n"/>
      <c r="O199" s="40">
        <f>IF($B199="","",IFERROR(INDEX('CHUYÊN CẦN'!$C$3:$N$202,MATCH($A199,'CHUYÊN CẦN'!$A$3:$A$202,0),MONTH(TODAY())),0))</f>
        <v/>
      </c>
      <c r="P199" s="44">
        <f>IF($B199="","",IF(SUMPRODUCT(MAX(('NHẬT KÝ CSKH'!$B$3:$B$1000=$A199)*'NHẬT KÝ CSKH'!$A$3:$A$1000))=0,"",SUMPRODUCT(MAX(('NHẬT KÝ CSKH'!$B$3:$B$1000=$A199)*'NHẬT KÝ CSKH'!$A$3:$A$1000))))</f>
        <v/>
      </c>
      <c r="Q199" s="40">
        <f>IF($B199="","",IF($I199="","",$I199-TODAY()))</f>
        <v/>
      </c>
      <c r="R199" s="40">
        <f>IF($B199="","",IF($O199&gt;=3,2,0)+IF($K199="Còn nợ",2,0)+IF(AND($N199="Đang học",$Q199&lt;&gt;"",$Q199&gt;=0,$Q199&lt;=30),1,0)+IF($P199="",1,IF(TODAY()-$P199&gt;60,1,0)))</f>
        <v/>
      </c>
      <c r="S199" s="40">
        <f>IF($B199="","",IF($R199&gt;=3,"CAO",IF($R199&gt;=1,"TRUNG BÌNH","THẤP")))</f>
        <v/>
      </c>
      <c r="T199" s="40" t="n"/>
      <c r="U199" s="40" t="n"/>
      <c r="V199" s="40" t="n"/>
      <c r="W199" s="40" t="n"/>
      <c r="X199" s="40" t="n"/>
      <c r="Y199" s="40" t="n"/>
      <c r="Z199" s="40" t="n"/>
      <c r="AA199" s="40" t="n"/>
      <c r="AB199" s="40" t="n"/>
      <c r="AC199" s="40" t="n"/>
      <c r="AD199" s="40" t="n"/>
      <c r="AE199" s="40" t="n"/>
      <c r="AF199" s="40" t="n"/>
      <c r="AG199" s="40" t="n"/>
      <c r="AH199" s="40" t="n"/>
      <c r="AI199" s="40" t="n"/>
      <c r="AJ199" s="40" t="n"/>
      <c r="AK199" s="40" t="n"/>
      <c r="AL199" s="40" t="n"/>
      <c r="AM199" s="40" t="n"/>
      <c r="AN199" s="40" t="n"/>
      <c r="AO199" s="40" t="n"/>
      <c r="AP199" s="40" t="n"/>
      <c r="AQ199" s="40" t="n"/>
    </row>
    <row r="200">
      <c r="A200" s="40" t="inlineStr">
        <is>
          <t>ORI197</t>
        </is>
      </c>
      <c r="B200" s="46" t="n"/>
      <c r="C200" s="40" t="n"/>
      <c r="D200" s="40" t="n"/>
      <c r="E200" s="40" t="n"/>
      <c r="F200" s="44" t="n"/>
      <c r="G200" s="40" t="n"/>
      <c r="H200" s="40" t="n"/>
      <c r="I200" s="44">
        <f>IFERROR(EDATE(F200,H200),"")</f>
        <v/>
      </c>
      <c r="J200" s="47" t="n"/>
      <c r="K200" s="40" t="n"/>
      <c r="L200" s="40" t="n"/>
      <c r="M200" s="40" t="n"/>
      <c r="N200" s="40" t="n"/>
      <c r="O200" s="40">
        <f>IF($B200="","",IFERROR(INDEX('CHUYÊN CẦN'!$C$3:$N$202,MATCH($A200,'CHUYÊN CẦN'!$A$3:$A$202,0),MONTH(TODAY())),0))</f>
        <v/>
      </c>
      <c r="P200" s="44">
        <f>IF($B200="","",IF(SUMPRODUCT(MAX(('NHẬT KÝ CSKH'!$B$3:$B$1000=$A200)*'NHẬT KÝ CSKH'!$A$3:$A$1000))=0,"",SUMPRODUCT(MAX(('NHẬT KÝ CSKH'!$B$3:$B$1000=$A200)*'NHẬT KÝ CSKH'!$A$3:$A$1000))))</f>
        <v/>
      </c>
      <c r="Q200" s="40">
        <f>IF($B200="","",IF($I200="","",$I200-TODAY()))</f>
        <v/>
      </c>
      <c r="R200" s="40">
        <f>IF($B200="","",IF($O200&gt;=3,2,0)+IF($K200="Còn nợ",2,0)+IF(AND($N200="Đang học",$Q200&lt;&gt;"",$Q200&gt;=0,$Q200&lt;=30),1,0)+IF($P200="",1,IF(TODAY()-$P200&gt;60,1,0)))</f>
        <v/>
      </c>
      <c r="S200" s="40">
        <f>IF($B200="","",IF($R200&gt;=3,"CAO",IF($R200&gt;=1,"TRUNG BÌNH","THẤP")))</f>
        <v/>
      </c>
      <c r="T200" s="40" t="n"/>
      <c r="U200" s="40" t="n"/>
      <c r="V200" s="40" t="n"/>
      <c r="W200" s="40" t="n"/>
      <c r="X200" s="40" t="n"/>
      <c r="Y200" s="40" t="n"/>
      <c r="Z200" s="40" t="n"/>
      <c r="AA200" s="40" t="n"/>
      <c r="AB200" s="40" t="n"/>
      <c r="AC200" s="40" t="n"/>
      <c r="AD200" s="40" t="n"/>
      <c r="AE200" s="40" t="n"/>
      <c r="AF200" s="40" t="n"/>
      <c r="AG200" s="40" t="n"/>
      <c r="AH200" s="40" t="n"/>
      <c r="AI200" s="40" t="n"/>
      <c r="AJ200" s="40" t="n"/>
      <c r="AK200" s="40" t="n"/>
      <c r="AL200" s="40" t="n"/>
      <c r="AM200" s="40" t="n"/>
      <c r="AN200" s="40" t="n"/>
      <c r="AO200" s="40" t="n"/>
      <c r="AP200" s="40" t="n"/>
      <c r="AQ200" s="40" t="n"/>
    </row>
    <row r="201">
      <c r="A201" s="40" t="inlineStr">
        <is>
          <t>ORI198</t>
        </is>
      </c>
      <c r="B201" s="46" t="n"/>
      <c r="C201" s="40" t="n"/>
      <c r="D201" s="40" t="n"/>
      <c r="E201" s="40" t="n"/>
      <c r="F201" s="44" t="n"/>
      <c r="G201" s="40" t="n"/>
      <c r="H201" s="40" t="n"/>
      <c r="I201" s="44">
        <f>IFERROR(EDATE(F201,H201),"")</f>
        <v/>
      </c>
      <c r="J201" s="47" t="n"/>
      <c r="K201" s="40" t="n"/>
      <c r="L201" s="40" t="n"/>
      <c r="M201" s="40" t="n"/>
      <c r="N201" s="40" t="n"/>
      <c r="O201" s="40">
        <f>IF($B201="","",IFERROR(INDEX('CHUYÊN CẦN'!$C$3:$N$202,MATCH($A201,'CHUYÊN CẦN'!$A$3:$A$202,0),MONTH(TODAY())),0))</f>
        <v/>
      </c>
      <c r="P201" s="44">
        <f>IF($B201="","",IF(SUMPRODUCT(MAX(('NHẬT KÝ CSKH'!$B$3:$B$1000=$A201)*'NHẬT KÝ CSKH'!$A$3:$A$1000))=0,"",SUMPRODUCT(MAX(('NHẬT KÝ CSKH'!$B$3:$B$1000=$A201)*'NHẬT KÝ CSKH'!$A$3:$A$1000))))</f>
        <v/>
      </c>
      <c r="Q201" s="40">
        <f>IF($B201="","",IF($I201="","",$I201-TODAY()))</f>
        <v/>
      </c>
      <c r="R201" s="40">
        <f>IF($B201="","",IF($O201&gt;=3,2,0)+IF($K201="Còn nợ",2,0)+IF(AND($N201="Đang học",$Q201&lt;&gt;"",$Q201&gt;=0,$Q201&lt;=30),1,0)+IF($P201="",1,IF(TODAY()-$P201&gt;60,1,0)))</f>
        <v/>
      </c>
      <c r="S201" s="40">
        <f>IF($B201="","",IF($R201&gt;=3,"CAO",IF($R201&gt;=1,"TRUNG BÌNH","THẤP")))</f>
        <v/>
      </c>
      <c r="T201" s="40" t="n"/>
      <c r="U201" s="40" t="n"/>
      <c r="V201" s="40" t="n"/>
      <c r="W201" s="40" t="n"/>
      <c r="X201" s="40" t="n"/>
      <c r="Y201" s="40" t="n"/>
      <c r="Z201" s="40" t="n"/>
      <c r="AA201" s="40" t="n"/>
      <c r="AB201" s="40" t="n"/>
      <c r="AC201" s="40" t="n"/>
      <c r="AD201" s="40" t="n"/>
      <c r="AE201" s="40" t="n"/>
      <c r="AF201" s="40" t="n"/>
      <c r="AG201" s="40" t="n"/>
      <c r="AH201" s="40" t="n"/>
      <c r="AI201" s="40" t="n"/>
      <c r="AJ201" s="40" t="n"/>
      <c r="AK201" s="40" t="n"/>
      <c r="AL201" s="40" t="n"/>
      <c r="AM201" s="40" t="n"/>
      <c r="AN201" s="40" t="n"/>
      <c r="AO201" s="40" t="n"/>
      <c r="AP201" s="40" t="n"/>
      <c r="AQ201" s="40" t="n"/>
    </row>
    <row r="202">
      <c r="A202" s="40" t="inlineStr">
        <is>
          <t>ORI199</t>
        </is>
      </c>
      <c r="B202" s="46" t="n"/>
      <c r="C202" s="40" t="n"/>
      <c r="D202" s="40" t="n"/>
      <c r="E202" s="40" t="n"/>
      <c r="F202" s="44" t="n"/>
      <c r="G202" s="40" t="n"/>
      <c r="H202" s="40" t="n"/>
      <c r="I202" s="44">
        <f>IFERROR(EDATE(F202,H202),"")</f>
        <v/>
      </c>
      <c r="J202" s="47" t="n"/>
      <c r="K202" s="40" t="n"/>
      <c r="L202" s="40" t="n"/>
      <c r="M202" s="40" t="n"/>
      <c r="N202" s="40" t="n"/>
      <c r="O202" s="40">
        <f>IF($B202="","",IFERROR(INDEX('CHUYÊN CẦN'!$C$3:$N$202,MATCH($A202,'CHUYÊN CẦN'!$A$3:$A$202,0),MONTH(TODAY())),0))</f>
        <v/>
      </c>
      <c r="P202" s="44">
        <f>IF($B202="","",IF(SUMPRODUCT(MAX(('NHẬT KÝ CSKH'!$B$3:$B$1000=$A202)*'NHẬT KÝ CSKH'!$A$3:$A$1000))=0,"",SUMPRODUCT(MAX(('NHẬT KÝ CSKH'!$B$3:$B$1000=$A202)*'NHẬT KÝ CSKH'!$A$3:$A$1000))))</f>
        <v/>
      </c>
      <c r="Q202" s="40">
        <f>IF($B202="","",IF($I202="","",$I202-TODAY()))</f>
        <v/>
      </c>
      <c r="R202" s="40">
        <f>IF($B202="","",IF($O202&gt;=3,2,0)+IF($K202="Còn nợ",2,0)+IF(AND($N202="Đang học",$Q202&lt;&gt;"",$Q202&gt;=0,$Q202&lt;=30),1,0)+IF($P202="",1,IF(TODAY()-$P202&gt;60,1,0)))</f>
        <v/>
      </c>
      <c r="S202" s="40">
        <f>IF($B202="","",IF($R202&gt;=3,"CAO",IF($R202&gt;=1,"TRUNG BÌNH","THẤP")))</f>
        <v/>
      </c>
      <c r="T202" s="40" t="n"/>
      <c r="U202" s="40" t="n"/>
      <c r="V202" s="40" t="n"/>
      <c r="W202" s="40" t="n"/>
      <c r="X202" s="40" t="n"/>
      <c r="Y202" s="40" t="n"/>
      <c r="Z202" s="40" t="n"/>
      <c r="AA202" s="40" t="n"/>
      <c r="AB202" s="40" t="n"/>
      <c r="AC202" s="40" t="n"/>
      <c r="AD202" s="40" t="n"/>
      <c r="AE202" s="40" t="n"/>
      <c r="AF202" s="40" t="n"/>
      <c r="AG202" s="40" t="n"/>
      <c r="AH202" s="40" t="n"/>
      <c r="AI202" s="40" t="n"/>
      <c r="AJ202" s="40" t="n"/>
      <c r="AK202" s="40" t="n"/>
      <c r="AL202" s="40" t="n"/>
      <c r="AM202" s="40" t="n"/>
      <c r="AN202" s="40" t="n"/>
      <c r="AO202" s="40" t="n"/>
      <c r="AP202" s="40" t="n"/>
      <c r="AQ202" s="40" t="n"/>
    </row>
    <row r="203">
      <c r="A203" s="40" t="inlineStr">
        <is>
          <t>ORI200</t>
        </is>
      </c>
      <c r="B203" s="46" t="n"/>
      <c r="C203" s="40" t="n"/>
      <c r="D203" s="40" t="n"/>
      <c r="E203" s="40" t="n"/>
      <c r="F203" s="44" t="n"/>
      <c r="G203" s="40" t="n"/>
      <c r="H203" s="40" t="n"/>
      <c r="I203" s="44">
        <f>IFERROR(EDATE(F203,H203),"")</f>
        <v/>
      </c>
      <c r="J203" s="47" t="n"/>
      <c r="K203" s="40" t="n"/>
      <c r="L203" s="40" t="n"/>
      <c r="M203" s="40" t="n"/>
      <c r="N203" s="40" t="n"/>
      <c r="O203" s="40">
        <f>IF($B203="","",IFERROR(INDEX('CHUYÊN CẦN'!$C$3:$N$202,MATCH($A203,'CHUYÊN CẦN'!$A$3:$A$202,0),MONTH(TODAY())),0))</f>
        <v/>
      </c>
      <c r="P203" s="44">
        <f>IF($B203="","",IF(SUMPRODUCT(MAX(('NHẬT KÝ CSKH'!$B$3:$B$1000=$A203)*'NHẬT KÝ CSKH'!$A$3:$A$1000))=0,"",SUMPRODUCT(MAX(('NHẬT KÝ CSKH'!$B$3:$B$1000=$A203)*'NHẬT KÝ CSKH'!$A$3:$A$1000))))</f>
        <v/>
      </c>
      <c r="Q203" s="40">
        <f>IF($B203="","",IF($I203="","",$I203-TODAY()))</f>
        <v/>
      </c>
      <c r="R203" s="40">
        <f>IF($B203="","",IF($O203&gt;=3,2,0)+IF($K203="Còn nợ",2,0)+IF(AND($N203="Đang học",$Q203&lt;&gt;"",$Q203&gt;=0,$Q203&lt;=30),1,0)+IF($P203="",1,IF(TODAY()-$P203&gt;60,1,0)))</f>
        <v/>
      </c>
      <c r="S203" s="40">
        <f>IF($B203="","",IF($R203&gt;=3,"CAO",IF($R203&gt;=1,"TRUNG BÌNH","THẤP")))</f>
        <v/>
      </c>
      <c r="T203" s="40" t="n"/>
      <c r="U203" s="40" t="n"/>
      <c r="V203" s="40" t="n"/>
      <c r="W203" s="40" t="n"/>
      <c r="X203" s="40" t="n"/>
      <c r="Y203" s="40" t="n"/>
      <c r="Z203" s="40" t="n"/>
      <c r="AA203" s="40" t="n"/>
      <c r="AB203" s="40" t="n"/>
      <c r="AC203" s="40" t="n"/>
      <c r="AD203" s="40" t="n"/>
      <c r="AE203" s="40" t="n"/>
      <c r="AF203" s="40" t="n"/>
      <c r="AG203" s="40" t="n"/>
      <c r="AH203" s="40" t="n"/>
      <c r="AI203" s="40" t="n"/>
      <c r="AJ203" s="40" t="n"/>
      <c r="AK203" s="40" t="n"/>
      <c r="AL203" s="40" t="n"/>
      <c r="AM203" s="40" t="n"/>
      <c r="AN203" s="40" t="n"/>
      <c r="AO203" s="40" t="n"/>
      <c r="AP203" s="40" t="n"/>
      <c r="AQ203" s="40" t="n"/>
    </row>
  </sheetData>
  <autoFilter ref="A3:AQ203"/>
  <mergeCells count="14">
    <mergeCell ref="AH2:AI2"/>
    <mergeCell ref="V2:W2"/>
    <mergeCell ref="T2:U2"/>
    <mergeCell ref="Z2:AA2"/>
    <mergeCell ref="X2:Y2"/>
    <mergeCell ref="AB2:AC2"/>
    <mergeCell ref="AD2:AE2"/>
    <mergeCell ref="AF2:AG2"/>
    <mergeCell ref="AJ2:AK2"/>
    <mergeCell ref="AN2:AO2"/>
    <mergeCell ref="AL2:AM2"/>
    <mergeCell ref="AP2:AQ2"/>
    <mergeCell ref="A1:AQ1"/>
    <mergeCell ref="A2:S2"/>
  </mergeCells>
  <conditionalFormatting sqref="A4:S203">
    <cfRule type="expression" priority="1" dxfId="4" stopIfTrue="1">
      <formula>$N4="Nghỉ học"</formula>
    </cfRule>
    <cfRule type="expression" priority="2" dxfId="5" stopIfTrue="1">
      <formula>$N4="Học xong"</formula>
    </cfRule>
    <cfRule type="expression" priority="3" dxfId="6" stopIfTrue="1">
      <formula>OR($N4="Bảo lưu",$N4="Tạm dừng")</formula>
    </cfRule>
    <cfRule type="expression" priority="4" dxfId="5" stopIfTrue="1">
      <formula>AND($N4="Đang học",$Q4&lt;&gt;"",$Q4&lt;0)</formula>
    </cfRule>
    <cfRule type="expression" priority="5" dxfId="6" stopIfTrue="1">
      <formula>AND($N4="Đang học",$Q4&lt;&gt;"",$Q4&gt;=0,$Q4&lt;=90)</formula>
    </cfRule>
    <cfRule type="expression" priority="6" dxfId="3" stopIfTrue="0">
      <formula>ISEVEN(ROW())</formula>
    </cfRule>
  </conditionalFormatting>
  <conditionalFormatting sqref="S4:S203">
    <cfRule type="cellIs" priority="7" operator="equal" dxfId="7">
      <formula>"CAO"</formula>
    </cfRule>
    <cfRule type="cellIs" priority="8" operator="equal" dxfId="6">
      <formula>"TRUNG BÌNH"</formula>
    </cfRule>
    <cfRule type="cellIs" priority="9" operator="equal" dxfId="8">
      <formula>"THẤP"</formula>
    </cfRule>
  </conditionalFormatting>
  <conditionalFormatting sqref="O4:O203">
    <cfRule type="cellIs" priority="10" operator="greaterThanOrEqual" dxfId="7">
      <formula>3</formula>
    </cfRule>
    <cfRule type="cellIs" priority="11" operator="equal" dxfId="6">
      <formula>2</formula>
    </cfRule>
  </conditionalFormatting>
  <conditionalFormatting sqref="T4:T203">
    <cfRule type="cellIs" priority="12" operator="equal" dxfId="9">
      <formula>"Đã đóng"</formula>
    </cfRule>
    <cfRule type="cellIs" priority="13" operator="equal" dxfId="10">
      <formula>"Chưa đóng"</formula>
    </cfRule>
    <cfRule type="cellIs" priority="14" operator="equal" dxfId="11">
      <formula>"Nhắc đóng"</formula>
    </cfRule>
    <cfRule type="cellIs" priority="15" operator="equal" dxfId="12">
      <formula>"Chưa tới"</formula>
    </cfRule>
  </conditionalFormatting>
  <conditionalFormatting sqref="V4:V203">
    <cfRule type="cellIs" priority="16" operator="equal" dxfId="9">
      <formula>"Đã đóng"</formula>
    </cfRule>
    <cfRule type="cellIs" priority="17" operator="equal" dxfId="10">
      <formula>"Chưa đóng"</formula>
    </cfRule>
    <cfRule type="cellIs" priority="18" operator="equal" dxfId="11">
      <formula>"Nhắc đóng"</formula>
    </cfRule>
    <cfRule type="cellIs" priority="19" operator="equal" dxfId="12">
      <formula>"Chưa tới"</formula>
    </cfRule>
  </conditionalFormatting>
  <conditionalFormatting sqref="X4:X203">
    <cfRule type="cellIs" priority="20" operator="equal" dxfId="9">
      <formula>"Đã đóng"</formula>
    </cfRule>
    <cfRule type="cellIs" priority="21" operator="equal" dxfId="10">
      <formula>"Chưa đóng"</formula>
    </cfRule>
    <cfRule type="cellIs" priority="22" operator="equal" dxfId="11">
      <formula>"Nhắc đóng"</formula>
    </cfRule>
    <cfRule type="cellIs" priority="23" operator="equal" dxfId="12">
      <formula>"Chưa tới"</formula>
    </cfRule>
  </conditionalFormatting>
  <conditionalFormatting sqref="Z4:Z203">
    <cfRule type="cellIs" priority="24" operator="equal" dxfId="9">
      <formula>"Đã đóng"</formula>
    </cfRule>
    <cfRule type="cellIs" priority="25" operator="equal" dxfId="10">
      <formula>"Chưa đóng"</formula>
    </cfRule>
    <cfRule type="cellIs" priority="26" operator="equal" dxfId="11">
      <formula>"Nhắc đóng"</formula>
    </cfRule>
    <cfRule type="cellIs" priority="27" operator="equal" dxfId="12">
      <formula>"Chưa tới"</formula>
    </cfRule>
  </conditionalFormatting>
  <conditionalFormatting sqref="AB4:AB203">
    <cfRule type="cellIs" priority="28" operator="equal" dxfId="9">
      <formula>"Đã đóng"</formula>
    </cfRule>
    <cfRule type="cellIs" priority="29" operator="equal" dxfId="10">
      <formula>"Chưa đóng"</formula>
    </cfRule>
    <cfRule type="cellIs" priority="30" operator="equal" dxfId="11">
      <formula>"Nhắc đóng"</formula>
    </cfRule>
    <cfRule type="cellIs" priority="31" operator="equal" dxfId="12">
      <formula>"Chưa tới"</formula>
    </cfRule>
  </conditionalFormatting>
  <conditionalFormatting sqref="AD4:AD203">
    <cfRule type="cellIs" priority="32" operator="equal" dxfId="9">
      <formula>"Đã đóng"</formula>
    </cfRule>
    <cfRule type="cellIs" priority="33" operator="equal" dxfId="10">
      <formula>"Chưa đóng"</formula>
    </cfRule>
    <cfRule type="cellIs" priority="34" operator="equal" dxfId="11">
      <formula>"Nhắc đóng"</formula>
    </cfRule>
    <cfRule type="cellIs" priority="35" operator="equal" dxfId="12">
      <formula>"Chưa tới"</formula>
    </cfRule>
  </conditionalFormatting>
  <conditionalFormatting sqref="AF4:AF203">
    <cfRule type="cellIs" priority="36" operator="equal" dxfId="9">
      <formula>"Đã đóng"</formula>
    </cfRule>
    <cfRule type="cellIs" priority="37" operator="equal" dxfId="10">
      <formula>"Chưa đóng"</formula>
    </cfRule>
    <cfRule type="cellIs" priority="38" operator="equal" dxfId="11">
      <formula>"Nhắc đóng"</formula>
    </cfRule>
    <cfRule type="cellIs" priority="39" operator="equal" dxfId="12">
      <formula>"Chưa tới"</formula>
    </cfRule>
  </conditionalFormatting>
  <conditionalFormatting sqref="AH4:AH203">
    <cfRule type="cellIs" priority="40" operator="equal" dxfId="9">
      <formula>"Đã đóng"</formula>
    </cfRule>
    <cfRule type="cellIs" priority="41" operator="equal" dxfId="10">
      <formula>"Chưa đóng"</formula>
    </cfRule>
    <cfRule type="cellIs" priority="42" operator="equal" dxfId="11">
      <formula>"Nhắc đóng"</formula>
    </cfRule>
    <cfRule type="cellIs" priority="43" operator="equal" dxfId="12">
      <formula>"Chưa tới"</formula>
    </cfRule>
  </conditionalFormatting>
  <conditionalFormatting sqref="AJ4:AJ203">
    <cfRule type="cellIs" priority="44" operator="equal" dxfId="9">
      <formula>"Đã đóng"</formula>
    </cfRule>
    <cfRule type="cellIs" priority="45" operator="equal" dxfId="10">
      <formula>"Chưa đóng"</formula>
    </cfRule>
    <cfRule type="cellIs" priority="46" operator="equal" dxfId="11">
      <formula>"Nhắc đóng"</formula>
    </cfRule>
    <cfRule type="cellIs" priority="47" operator="equal" dxfId="12">
      <formula>"Chưa tới"</formula>
    </cfRule>
  </conditionalFormatting>
  <conditionalFormatting sqref="AL4:AL203">
    <cfRule type="cellIs" priority="48" operator="equal" dxfId="9">
      <formula>"Đã đóng"</formula>
    </cfRule>
    <cfRule type="cellIs" priority="49" operator="equal" dxfId="10">
      <formula>"Chưa đóng"</formula>
    </cfRule>
    <cfRule type="cellIs" priority="50" operator="equal" dxfId="11">
      <formula>"Nhắc đóng"</formula>
    </cfRule>
    <cfRule type="cellIs" priority="51" operator="equal" dxfId="12">
      <formula>"Chưa tới"</formula>
    </cfRule>
  </conditionalFormatting>
  <conditionalFormatting sqref="AN4:AN203">
    <cfRule type="cellIs" priority="52" operator="equal" dxfId="9">
      <formula>"Đã đóng"</formula>
    </cfRule>
    <cfRule type="cellIs" priority="53" operator="equal" dxfId="10">
      <formula>"Chưa đóng"</formula>
    </cfRule>
    <cfRule type="cellIs" priority="54" operator="equal" dxfId="11">
      <formula>"Nhắc đóng"</formula>
    </cfRule>
    <cfRule type="cellIs" priority="55" operator="equal" dxfId="12">
      <formula>"Chưa tới"</formula>
    </cfRule>
  </conditionalFormatting>
  <conditionalFormatting sqref="AP4:AP203">
    <cfRule type="cellIs" priority="56" operator="equal" dxfId="9">
      <formula>"Đã đóng"</formula>
    </cfRule>
    <cfRule type="cellIs" priority="57" operator="equal" dxfId="10">
      <formula>"Chưa đóng"</formula>
    </cfRule>
    <cfRule type="cellIs" priority="58" operator="equal" dxfId="11">
      <formula>"Nhắc đóng"</formula>
    </cfRule>
    <cfRule type="cellIs" priority="59" operator="equal" dxfId="12">
      <formula>"Chưa tới"</formula>
    </cfRule>
  </conditionalFormatting>
  <dataValidations count="9">
    <dataValidation sqref="D4:D203" showDropDown="0" showInputMessage="0" showErrorMessage="0" allowBlank="1" type="list">
      <formula1>=DANHMUC!$I$2:$I$8</formula1>
    </dataValidation>
    <dataValidation sqref="E4:E203" showDropDown="0" showInputMessage="0" showErrorMessage="0" allowBlank="1" type="list">
      <formula1>=DANHMUC!$J$2:$J$6</formula1>
    </dataValidation>
    <dataValidation sqref="G4:G203" showDropDown="0" showInputMessage="0" showErrorMessage="0" allowBlank="1" type="list">
      <formula1>=DANHMUC!$C$2:$C$10</formula1>
    </dataValidation>
    <dataValidation sqref="K4:K203" showDropDown="0" showInputMessage="0" showErrorMessage="0" allowBlank="1" type="list">
      <formula1>=DANHMUC!$G$2:$G$3</formula1>
    </dataValidation>
    <dataValidation sqref="L4:L203" showDropDown="0" showInputMessage="0" showErrorMessage="0" allowBlank="1" type="list">
      <formula1>=DANHMUC!$D$2:$D$10</formula1>
    </dataValidation>
    <dataValidation sqref="M4:M203" showDropDown="0" showInputMessage="0" showErrorMessage="0" allowBlank="1" type="list">
      <formula1>=DANHMUC!$D$2:$D$10</formula1>
    </dataValidation>
    <dataValidation sqref="N4:N203" showDropDown="0" showInputMessage="0" showErrorMessage="0" allowBlank="1" type="list">
      <formula1>=DANHMUC!$A$2:$A$6</formula1>
    </dataValidation>
    <dataValidation sqref="T4:T203 V4:V203 X4:X203 Z4:Z203 AB4:AB203 AD4:AD203 AF4:AF203 AH4:AH203 AJ4:AJ203 AL4:AL203 AN4:AN203 AP4:AP203" showDropDown="0" showInputMessage="0" showErrorMessage="0" allowBlank="1" type="list">
      <formula1>=DANHMUC!$B$2:$B$5</formula1>
    </dataValidation>
    <dataValidation sqref="U4:U203 W4:W203 Y4:Y203 AA4:AA203 AC4:AC203 AE4:AE203 AG4:AG203 AI4:AI203 AK4:AK203 AM4:AM203 AO4:AO203 AQ4:AQ203" showDropDown="0" showInputMessage="0" showErrorMessage="0" allowBlank="1" type="list">
      <formula1>=DANHMUC!$D$2:$D$10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O20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9" customWidth="1" min="15" max="15"/>
  </cols>
  <sheetData>
    <row r="1" ht="30" customHeight="1">
      <c r="A1" s="1" t="inlineStr">
        <is>
          <t>🎓 ORI ACADEMY   ·   CHUYÊN CẦN 2026 — SỐ BUỔI VẮNG / THÁNG (tự cộng từ Form)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4" t="inlineStr">
        <is>
          <t>Mã HV</t>
        </is>
      </c>
      <c r="B2" s="24" t="inlineStr">
        <is>
          <t>Họ và tên</t>
        </is>
      </c>
      <c r="C2" s="24" t="inlineStr">
        <is>
          <t>T1</t>
        </is>
      </c>
      <c r="D2" s="24" t="inlineStr">
        <is>
          <t>T2</t>
        </is>
      </c>
      <c r="E2" s="24" t="inlineStr">
        <is>
          <t>T3</t>
        </is>
      </c>
      <c r="F2" s="24" t="inlineStr">
        <is>
          <t>T4</t>
        </is>
      </c>
      <c r="G2" s="24" t="inlineStr">
        <is>
          <t>T5</t>
        </is>
      </c>
      <c r="H2" s="24" t="inlineStr">
        <is>
          <t>T6</t>
        </is>
      </c>
      <c r="I2" s="24" t="inlineStr">
        <is>
          <t>T7</t>
        </is>
      </c>
      <c r="J2" s="24" t="inlineStr">
        <is>
          <t>T8</t>
        </is>
      </c>
      <c r="K2" s="24" t="inlineStr">
        <is>
          <t>T9</t>
        </is>
      </c>
      <c r="L2" s="24" t="inlineStr">
        <is>
          <t>T10</t>
        </is>
      </c>
      <c r="M2" s="24" t="inlineStr">
        <is>
          <t>T11</t>
        </is>
      </c>
      <c r="N2" s="24" t="inlineStr">
        <is>
          <t>T12</t>
        </is>
      </c>
      <c r="O2" s="24" t="inlineStr">
        <is>
          <t>Tổng vắng</t>
        </is>
      </c>
    </row>
    <row r="3">
      <c r="A3" s="40" t="inlineStr">
        <is>
          <t>ORI001</t>
        </is>
      </c>
      <c r="B3" s="46">
        <f>IFERROR(INDEX('HỌC VIÊN'!$B$4:$B$203,MATCH($A3,'HỌC VIÊN'!$A$4:$A$203,0)),"")</f>
        <v/>
      </c>
      <c r="C3" s="40">
        <f>IF($B3="","",SUMPRODUCT(('LOG VẮNG'!$C$2:$C$1000&lt;&gt;"")*(YEAR('LOG VẮNG'!$C$2:$C$1000)=2026)*(MONTH('LOG VẮNG'!$C$2:$C$1000)=1)*ISNUMBER(SEARCH($A3,'LOG VẮNG'!$D$2:$D$1000))))</f>
        <v/>
      </c>
      <c r="D3" s="40">
        <f>IF($B3="","",SUMPRODUCT(('LOG VẮNG'!$C$2:$C$1000&lt;&gt;"")*(YEAR('LOG VẮNG'!$C$2:$C$1000)=2026)*(MONTH('LOG VẮNG'!$C$2:$C$1000)=2)*ISNUMBER(SEARCH($A3,'LOG VẮNG'!$D$2:$D$1000))))</f>
        <v/>
      </c>
      <c r="E3" s="40">
        <f>IF($B3="","",SUMPRODUCT(('LOG VẮNG'!$C$2:$C$1000&lt;&gt;"")*(YEAR('LOG VẮNG'!$C$2:$C$1000)=2026)*(MONTH('LOG VẮNG'!$C$2:$C$1000)=3)*ISNUMBER(SEARCH($A3,'LOG VẮNG'!$D$2:$D$1000))))</f>
        <v/>
      </c>
      <c r="F3" s="40">
        <f>IF($B3="","",SUMPRODUCT(('LOG VẮNG'!$C$2:$C$1000&lt;&gt;"")*(YEAR('LOG VẮNG'!$C$2:$C$1000)=2026)*(MONTH('LOG VẮNG'!$C$2:$C$1000)=4)*ISNUMBER(SEARCH($A3,'LOG VẮNG'!$D$2:$D$1000))))</f>
        <v/>
      </c>
      <c r="G3" s="40">
        <f>IF($B3="","",SUMPRODUCT(('LOG VẮNG'!$C$2:$C$1000&lt;&gt;"")*(YEAR('LOG VẮNG'!$C$2:$C$1000)=2026)*(MONTH('LOG VẮNG'!$C$2:$C$1000)=5)*ISNUMBER(SEARCH($A3,'LOG VẮNG'!$D$2:$D$1000))))</f>
        <v/>
      </c>
      <c r="H3" s="40">
        <f>IF($B3="","",SUMPRODUCT(('LOG VẮNG'!$C$2:$C$1000&lt;&gt;"")*(YEAR('LOG VẮNG'!$C$2:$C$1000)=2026)*(MONTH('LOG VẮNG'!$C$2:$C$1000)=6)*ISNUMBER(SEARCH($A3,'LOG VẮNG'!$D$2:$D$1000))))</f>
        <v/>
      </c>
      <c r="I3" s="40">
        <f>IF($B3="","",SUMPRODUCT(('LOG VẮNG'!$C$2:$C$1000&lt;&gt;"")*(YEAR('LOG VẮNG'!$C$2:$C$1000)=2026)*(MONTH('LOG VẮNG'!$C$2:$C$1000)=7)*ISNUMBER(SEARCH($A3,'LOG VẮNG'!$D$2:$D$1000))))</f>
        <v/>
      </c>
      <c r="J3" s="40">
        <f>IF($B3="","",SUMPRODUCT(('LOG VẮNG'!$C$2:$C$1000&lt;&gt;"")*(YEAR('LOG VẮNG'!$C$2:$C$1000)=2026)*(MONTH('LOG VẮNG'!$C$2:$C$1000)=8)*ISNUMBER(SEARCH($A3,'LOG VẮNG'!$D$2:$D$1000))))</f>
        <v/>
      </c>
      <c r="K3" s="40">
        <f>IF($B3="","",SUMPRODUCT(('LOG VẮNG'!$C$2:$C$1000&lt;&gt;"")*(YEAR('LOG VẮNG'!$C$2:$C$1000)=2026)*(MONTH('LOG VẮNG'!$C$2:$C$1000)=9)*ISNUMBER(SEARCH($A3,'LOG VẮNG'!$D$2:$D$1000))))</f>
        <v/>
      </c>
      <c r="L3" s="40">
        <f>IF($B3="","",SUMPRODUCT(('LOG VẮNG'!$C$2:$C$1000&lt;&gt;"")*(YEAR('LOG VẮNG'!$C$2:$C$1000)=2026)*(MONTH('LOG VẮNG'!$C$2:$C$1000)=10)*ISNUMBER(SEARCH($A3,'LOG VẮNG'!$D$2:$D$1000))))</f>
        <v/>
      </c>
      <c r="M3" s="40">
        <f>IF($B3="","",SUMPRODUCT(('LOG VẮNG'!$C$2:$C$1000&lt;&gt;"")*(YEAR('LOG VẮNG'!$C$2:$C$1000)=2026)*(MONTH('LOG VẮNG'!$C$2:$C$1000)=11)*ISNUMBER(SEARCH($A3,'LOG VẮNG'!$D$2:$D$1000))))</f>
        <v/>
      </c>
      <c r="N3" s="40">
        <f>IF($B3="","",SUMPRODUCT(('LOG VẮNG'!$C$2:$C$1000&lt;&gt;"")*(YEAR('LOG VẮNG'!$C$2:$C$1000)=2026)*(MONTH('LOG VẮNG'!$C$2:$C$1000)=12)*ISNUMBER(SEARCH($A3,'LOG VẮNG'!$D$2:$D$1000))))</f>
        <v/>
      </c>
      <c r="O3" s="40">
        <f>IF($B3="","",SUM(C3:N3))</f>
        <v/>
      </c>
    </row>
    <row r="4">
      <c r="A4" s="40" t="inlineStr">
        <is>
          <t>ORI002</t>
        </is>
      </c>
      <c r="B4" s="46">
        <f>IFERROR(INDEX('HỌC VIÊN'!$B$4:$B$203,MATCH($A4,'HỌC VIÊN'!$A$4:$A$203,0)),"")</f>
        <v/>
      </c>
      <c r="C4" s="40">
        <f>IF($B4="","",SUMPRODUCT(('LOG VẮNG'!$C$2:$C$1000&lt;&gt;"")*(YEAR('LOG VẮNG'!$C$2:$C$1000)=2026)*(MONTH('LOG VẮNG'!$C$2:$C$1000)=1)*ISNUMBER(SEARCH($A4,'LOG VẮNG'!$D$2:$D$1000))))</f>
        <v/>
      </c>
      <c r="D4" s="40">
        <f>IF($B4="","",SUMPRODUCT(('LOG VẮNG'!$C$2:$C$1000&lt;&gt;"")*(YEAR('LOG VẮNG'!$C$2:$C$1000)=2026)*(MONTH('LOG VẮNG'!$C$2:$C$1000)=2)*ISNUMBER(SEARCH($A4,'LOG VẮNG'!$D$2:$D$1000))))</f>
        <v/>
      </c>
      <c r="E4" s="40">
        <f>IF($B4="","",SUMPRODUCT(('LOG VẮNG'!$C$2:$C$1000&lt;&gt;"")*(YEAR('LOG VẮNG'!$C$2:$C$1000)=2026)*(MONTH('LOG VẮNG'!$C$2:$C$1000)=3)*ISNUMBER(SEARCH($A4,'LOG VẮNG'!$D$2:$D$1000))))</f>
        <v/>
      </c>
      <c r="F4" s="40">
        <f>IF($B4="","",SUMPRODUCT(('LOG VẮNG'!$C$2:$C$1000&lt;&gt;"")*(YEAR('LOG VẮNG'!$C$2:$C$1000)=2026)*(MONTH('LOG VẮNG'!$C$2:$C$1000)=4)*ISNUMBER(SEARCH($A4,'LOG VẮNG'!$D$2:$D$1000))))</f>
        <v/>
      </c>
      <c r="G4" s="40">
        <f>IF($B4="","",SUMPRODUCT(('LOG VẮNG'!$C$2:$C$1000&lt;&gt;"")*(YEAR('LOG VẮNG'!$C$2:$C$1000)=2026)*(MONTH('LOG VẮNG'!$C$2:$C$1000)=5)*ISNUMBER(SEARCH($A4,'LOG VẮNG'!$D$2:$D$1000))))</f>
        <v/>
      </c>
      <c r="H4" s="40">
        <f>IF($B4="","",SUMPRODUCT(('LOG VẮNG'!$C$2:$C$1000&lt;&gt;"")*(YEAR('LOG VẮNG'!$C$2:$C$1000)=2026)*(MONTH('LOG VẮNG'!$C$2:$C$1000)=6)*ISNUMBER(SEARCH($A4,'LOG VẮNG'!$D$2:$D$1000))))</f>
        <v/>
      </c>
      <c r="I4" s="40">
        <f>IF($B4="","",SUMPRODUCT(('LOG VẮNG'!$C$2:$C$1000&lt;&gt;"")*(YEAR('LOG VẮNG'!$C$2:$C$1000)=2026)*(MONTH('LOG VẮNG'!$C$2:$C$1000)=7)*ISNUMBER(SEARCH($A4,'LOG VẮNG'!$D$2:$D$1000))))</f>
        <v/>
      </c>
      <c r="J4" s="40">
        <f>IF($B4="","",SUMPRODUCT(('LOG VẮNG'!$C$2:$C$1000&lt;&gt;"")*(YEAR('LOG VẮNG'!$C$2:$C$1000)=2026)*(MONTH('LOG VẮNG'!$C$2:$C$1000)=8)*ISNUMBER(SEARCH($A4,'LOG VẮNG'!$D$2:$D$1000))))</f>
        <v/>
      </c>
      <c r="K4" s="40">
        <f>IF($B4="","",SUMPRODUCT(('LOG VẮNG'!$C$2:$C$1000&lt;&gt;"")*(YEAR('LOG VẮNG'!$C$2:$C$1000)=2026)*(MONTH('LOG VẮNG'!$C$2:$C$1000)=9)*ISNUMBER(SEARCH($A4,'LOG VẮNG'!$D$2:$D$1000))))</f>
        <v/>
      </c>
      <c r="L4" s="40">
        <f>IF($B4="","",SUMPRODUCT(('LOG VẮNG'!$C$2:$C$1000&lt;&gt;"")*(YEAR('LOG VẮNG'!$C$2:$C$1000)=2026)*(MONTH('LOG VẮNG'!$C$2:$C$1000)=10)*ISNUMBER(SEARCH($A4,'LOG VẮNG'!$D$2:$D$1000))))</f>
        <v/>
      </c>
      <c r="M4" s="40">
        <f>IF($B4="","",SUMPRODUCT(('LOG VẮNG'!$C$2:$C$1000&lt;&gt;"")*(YEAR('LOG VẮNG'!$C$2:$C$1000)=2026)*(MONTH('LOG VẮNG'!$C$2:$C$1000)=11)*ISNUMBER(SEARCH($A4,'LOG VẮNG'!$D$2:$D$1000))))</f>
        <v/>
      </c>
      <c r="N4" s="40">
        <f>IF($B4="","",SUMPRODUCT(('LOG VẮNG'!$C$2:$C$1000&lt;&gt;"")*(YEAR('LOG VẮNG'!$C$2:$C$1000)=2026)*(MONTH('LOG VẮNG'!$C$2:$C$1000)=12)*ISNUMBER(SEARCH($A4,'LOG VẮNG'!$D$2:$D$1000))))</f>
        <v/>
      </c>
      <c r="O4" s="40">
        <f>IF($B4="","",SUM(C4:N4))</f>
        <v/>
      </c>
    </row>
    <row r="5">
      <c r="A5" s="40" t="inlineStr">
        <is>
          <t>ORI003</t>
        </is>
      </c>
      <c r="B5" s="46">
        <f>IFERROR(INDEX('HỌC VIÊN'!$B$4:$B$203,MATCH($A5,'HỌC VIÊN'!$A$4:$A$203,0)),"")</f>
        <v/>
      </c>
      <c r="C5" s="40">
        <f>IF($B5="","",SUMPRODUCT(('LOG VẮNG'!$C$2:$C$1000&lt;&gt;"")*(YEAR('LOG VẮNG'!$C$2:$C$1000)=2026)*(MONTH('LOG VẮNG'!$C$2:$C$1000)=1)*ISNUMBER(SEARCH($A5,'LOG VẮNG'!$D$2:$D$1000))))</f>
        <v/>
      </c>
      <c r="D5" s="40">
        <f>IF($B5="","",SUMPRODUCT(('LOG VẮNG'!$C$2:$C$1000&lt;&gt;"")*(YEAR('LOG VẮNG'!$C$2:$C$1000)=2026)*(MONTH('LOG VẮNG'!$C$2:$C$1000)=2)*ISNUMBER(SEARCH($A5,'LOG VẮNG'!$D$2:$D$1000))))</f>
        <v/>
      </c>
      <c r="E5" s="40">
        <f>IF($B5="","",SUMPRODUCT(('LOG VẮNG'!$C$2:$C$1000&lt;&gt;"")*(YEAR('LOG VẮNG'!$C$2:$C$1000)=2026)*(MONTH('LOG VẮNG'!$C$2:$C$1000)=3)*ISNUMBER(SEARCH($A5,'LOG VẮNG'!$D$2:$D$1000))))</f>
        <v/>
      </c>
      <c r="F5" s="40">
        <f>IF($B5="","",SUMPRODUCT(('LOG VẮNG'!$C$2:$C$1000&lt;&gt;"")*(YEAR('LOG VẮNG'!$C$2:$C$1000)=2026)*(MONTH('LOG VẮNG'!$C$2:$C$1000)=4)*ISNUMBER(SEARCH($A5,'LOG VẮNG'!$D$2:$D$1000))))</f>
        <v/>
      </c>
      <c r="G5" s="40">
        <f>IF($B5="","",SUMPRODUCT(('LOG VẮNG'!$C$2:$C$1000&lt;&gt;"")*(YEAR('LOG VẮNG'!$C$2:$C$1000)=2026)*(MONTH('LOG VẮNG'!$C$2:$C$1000)=5)*ISNUMBER(SEARCH($A5,'LOG VẮNG'!$D$2:$D$1000))))</f>
        <v/>
      </c>
      <c r="H5" s="40">
        <f>IF($B5="","",SUMPRODUCT(('LOG VẮNG'!$C$2:$C$1000&lt;&gt;"")*(YEAR('LOG VẮNG'!$C$2:$C$1000)=2026)*(MONTH('LOG VẮNG'!$C$2:$C$1000)=6)*ISNUMBER(SEARCH($A5,'LOG VẮNG'!$D$2:$D$1000))))</f>
        <v/>
      </c>
      <c r="I5" s="40">
        <f>IF($B5="","",SUMPRODUCT(('LOG VẮNG'!$C$2:$C$1000&lt;&gt;"")*(YEAR('LOG VẮNG'!$C$2:$C$1000)=2026)*(MONTH('LOG VẮNG'!$C$2:$C$1000)=7)*ISNUMBER(SEARCH($A5,'LOG VẮNG'!$D$2:$D$1000))))</f>
        <v/>
      </c>
      <c r="J5" s="40">
        <f>IF($B5="","",SUMPRODUCT(('LOG VẮNG'!$C$2:$C$1000&lt;&gt;"")*(YEAR('LOG VẮNG'!$C$2:$C$1000)=2026)*(MONTH('LOG VẮNG'!$C$2:$C$1000)=8)*ISNUMBER(SEARCH($A5,'LOG VẮNG'!$D$2:$D$1000))))</f>
        <v/>
      </c>
      <c r="K5" s="40">
        <f>IF($B5="","",SUMPRODUCT(('LOG VẮNG'!$C$2:$C$1000&lt;&gt;"")*(YEAR('LOG VẮNG'!$C$2:$C$1000)=2026)*(MONTH('LOG VẮNG'!$C$2:$C$1000)=9)*ISNUMBER(SEARCH($A5,'LOG VẮNG'!$D$2:$D$1000))))</f>
        <v/>
      </c>
      <c r="L5" s="40">
        <f>IF($B5="","",SUMPRODUCT(('LOG VẮNG'!$C$2:$C$1000&lt;&gt;"")*(YEAR('LOG VẮNG'!$C$2:$C$1000)=2026)*(MONTH('LOG VẮNG'!$C$2:$C$1000)=10)*ISNUMBER(SEARCH($A5,'LOG VẮNG'!$D$2:$D$1000))))</f>
        <v/>
      </c>
      <c r="M5" s="40">
        <f>IF($B5="","",SUMPRODUCT(('LOG VẮNG'!$C$2:$C$1000&lt;&gt;"")*(YEAR('LOG VẮNG'!$C$2:$C$1000)=2026)*(MONTH('LOG VẮNG'!$C$2:$C$1000)=11)*ISNUMBER(SEARCH($A5,'LOG VẮNG'!$D$2:$D$1000))))</f>
        <v/>
      </c>
      <c r="N5" s="40">
        <f>IF($B5="","",SUMPRODUCT(('LOG VẮNG'!$C$2:$C$1000&lt;&gt;"")*(YEAR('LOG VẮNG'!$C$2:$C$1000)=2026)*(MONTH('LOG VẮNG'!$C$2:$C$1000)=12)*ISNUMBER(SEARCH($A5,'LOG VẮNG'!$D$2:$D$1000))))</f>
        <v/>
      </c>
      <c r="O5" s="40">
        <f>IF($B5="","",SUM(C5:N5))</f>
        <v/>
      </c>
    </row>
    <row r="6">
      <c r="A6" s="40" t="inlineStr">
        <is>
          <t>ORI004</t>
        </is>
      </c>
      <c r="B6" s="46">
        <f>IFERROR(INDEX('HỌC VIÊN'!$B$4:$B$203,MATCH($A6,'HỌC VIÊN'!$A$4:$A$203,0)),"")</f>
        <v/>
      </c>
      <c r="C6" s="40">
        <f>IF($B6="","",SUMPRODUCT(('LOG VẮNG'!$C$2:$C$1000&lt;&gt;"")*(YEAR('LOG VẮNG'!$C$2:$C$1000)=2026)*(MONTH('LOG VẮNG'!$C$2:$C$1000)=1)*ISNUMBER(SEARCH($A6,'LOG VẮNG'!$D$2:$D$1000))))</f>
        <v/>
      </c>
      <c r="D6" s="40">
        <f>IF($B6="","",SUMPRODUCT(('LOG VẮNG'!$C$2:$C$1000&lt;&gt;"")*(YEAR('LOG VẮNG'!$C$2:$C$1000)=2026)*(MONTH('LOG VẮNG'!$C$2:$C$1000)=2)*ISNUMBER(SEARCH($A6,'LOG VẮNG'!$D$2:$D$1000))))</f>
        <v/>
      </c>
      <c r="E6" s="40">
        <f>IF($B6="","",SUMPRODUCT(('LOG VẮNG'!$C$2:$C$1000&lt;&gt;"")*(YEAR('LOG VẮNG'!$C$2:$C$1000)=2026)*(MONTH('LOG VẮNG'!$C$2:$C$1000)=3)*ISNUMBER(SEARCH($A6,'LOG VẮNG'!$D$2:$D$1000))))</f>
        <v/>
      </c>
      <c r="F6" s="40">
        <f>IF($B6="","",SUMPRODUCT(('LOG VẮNG'!$C$2:$C$1000&lt;&gt;"")*(YEAR('LOG VẮNG'!$C$2:$C$1000)=2026)*(MONTH('LOG VẮNG'!$C$2:$C$1000)=4)*ISNUMBER(SEARCH($A6,'LOG VẮNG'!$D$2:$D$1000))))</f>
        <v/>
      </c>
      <c r="G6" s="40">
        <f>IF($B6="","",SUMPRODUCT(('LOG VẮNG'!$C$2:$C$1000&lt;&gt;"")*(YEAR('LOG VẮNG'!$C$2:$C$1000)=2026)*(MONTH('LOG VẮNG'!$C$2:$C$1000)=5)*ISNUMBER(SEARCH($A6,'LOG VẮNG'!$D$2:$D$1000))))</f>
        <v/>
      </c>
      <c r="H6" s="40">
        <f>IF($B6="","",SUMPRODUCT(('LOG VẮNG'!$C$2:$C$1000&lt;&gt;"")*(YEAR('LOG VẮNG'!$C$2:$C$1000)=2026)*(MONTH('LOG VẮNG'!$C$2:$C$1000)=6)*ISNUMBER(SEARCH($A6,'LOG VẮNG'!$D$2:$D$1000))))</f>
        <v/>
      </c>
      <c r="I6" s="40">
        <f>IF($B6="","",SUMPRODUCT(('LOG VẮNG'!$C$2:$C$1000&lt;&gt;"")*(YEAR('LOG VẮNG'!$C$2:$C$1000)=2026)*(MONTH('LOG VẮNG'!$C$2:$C$1000)=7)*ISNUMBER(SEARCH($A6,'LOG VẮNG'!$D$2:$D$1000))))</f>
        <v/>
      </c>
      <c r="J6" s="40">
        <f>IF($B6="","",SUMPRODUCT(('LOG VẮNG'!$C$2:$C$1000&lt;&gt;"")*(YEAR('LOG VẮNG'!$C$2:$C$1000)=2026)*(MONTH('LOG VẮNG'!$C$2:$C$1000)=8)*ISNUMBER(SEARCH($A6,'LOG VẮNG'!$D$2:$D$1000))))</f>
        <v/>
      </c>
      <c r="K6" s="40">
        <f>IF($B6="","",SUMPRODUCT(('LOG VẮNG'!$C$2:$C$1000&lt;&gt;"")*(YEAR('LOG VẮNG'!$C$2:$C$1000)=2026)*(MONTH('LOG VẮNG'!$C$2:$C$1000)=9)*ISNUMBER(SEARCH($A6,'LOG VẮNG'!$D$2:$D$1000))))</f>
        <v/>
      </c>
      <c r="L6" s="40">
        <f>IF($B6="","",SUMPRODUCT(('LOG VẮNG'!$C$2:$C$1000&lt;&gt;"")*(YEAR('LOG VẮNG'!$C$2:$C$1000)=2026)*(MONTH('LOG VẮNG'!$C$2:$C$1000)=10)*ISNUMBER(SEARCH($A6,'LOG VẮNG'!$D$2:$D$1000))))</f>
        <v/>
      </c>
      <c r="M6" s="40">
        <f>IF($B6="","",SUMPRODUCT(('LOG VẮNG'!$C$2:$C$1000&lt;&gt;"")*(YEAR('LOG VẮNG'!$C$2:$C$1000)=2026)*(MONTH('LOG VẮNG'!$C$2:$C$1000)=11)*ISNUMBER(SEARCH($A6,'LOG VẮNG'!$D$2:$D$1000))))</f>
        <v/>
      </c>
      <c r="N6" s="40">
        <f>IF($B6="","",SUMPRODUCT(('LOG VẮNG'!$C$2:$C$1000&lt;&gt;"")*(YEAR('LOG VẮNG'!$C$2:$C$1000)=2026)*(MONTH('LOG VẮNG'!$C$2:$C$1000)=12)*ISNUMBER(SEARCH($A6,'LOG VẮNG'!$D$2:$D$1000))))</f>
        <v/>
      </c>
      <c r="O6" s="40">
        <f>IF($B6="","",SUM(C6:N6))</f>
        <v/>
      </c>
    </row>
    <row r="7">
      <c r="A7" s="40" t="inlineStr">
        <is>
          <t>ORI005</t>
        </is>
      </c>
      <c r="B7" s="46">
        <f>IFERROR(INDEX('HỌC VIÊN'!$B$4:$B$203,MATCH($A7,'HỌC VIÊN'!$A$4:$A$203,0)),"")</f>
        <v/>
      </c>
      <c r="C7" s="40">
        <f>IF($B7="","",SUMPRODUCT(('LOG VẮNG'!$C$2:$C$1000&lt;&gt;"")*(YEAR('LOG VẮNG'!$C$2:$C$1000)=2026)*(MONTH('LOG VẮNG'!$C$2:$C$1000)=1)*ISNUMBER(SEARCH($A7,'LOG VẮNG'!$D$2:$D$1000))))</f>
        <v/>
      </c>
      <c r="D7" s="40">
        <f>IF($B7="","",SUMPRODUCT(('LOG VẮNG'!$C$2:$C$1000&lt;&gt;"")*(YEAR('LOG VẮNG'!$C$2:$C$1000)=2026)*(MONTH('LOG VẮNG'!$C$2:$C$1000)=2)*ISNUMBER(SEARCH($A7,'LOG VẮNG'!$D$2:$D$1000))))</f>
        <v/>
      </c>
      <c r="E7" s="40">
        <f>IF($B7="","",SUMPRODUCT(('LOG VẮNG'!$C$2:$C$1000&lt;&gt;"")*(YEAR('LOG VẮNG'!$C$2:$C$1000)=2026)*(MONTH('LOG VẮNG'!$C$2:$C$1000)=3)*ISNUMBER(SEARCH($A7,'LOG VẮNG'!$D$2:$D$1000))))</f>
        <v/>
      </c>
      <c r="F7" s="40">
        <f>IF($B7="","",SUMPRODUCT(('LOG VẮNG'!$C$2:$C$1000&lt;&gt;"")*(YEAR('LOG VẮNG'!$C$2:$C$1000)=2026)*(MONTH('LOG VẮNG'!$C$2:$C$1000)=4)*ISNUMBER(SEARCH($A7,'LOG VẮNG'!$D$2:$D$1000))))</f>
        <v/>
      </c>
      <c r="G7" s="40">
        <f>IF($B7="","",SUMPRODUCT(('LOG VẮNG'!$C$2:$C$1000&lt;&gt;"")*(YEAR('LOG VẮNG'!$C$2:$C$1000)=2026)*(MONTH('LOG VẮNG'!$C$2:$C$1000)=5)*ISNUMBER(SEARCH($A7,'LOG VẮNG'!$D$2:$D$1000))))</f>
        <v/>
      </c>
      <c r="H7" s="40">
        <f>IF($B7="","",SUMPRODUCT(('LOG VẮNG'!$C$2:$C$1000&lt;&gt;"")*(YEAR('LOG VẮNG'!$C$2:$C$1000)=2026)*(MONTH('LOG VẮNG'!$C$2:$C$1000)=6)*ISNUMBER(SEARCH($A7,'LOG VẮNG'!$D$2:$D$1000))))</f>
        <v/>
      </c>
      <c r="I7" s="40">
        <f>IF($B7="","",SUMPRODUCT(('LOG VẮNG'!$C$2:$C$1000&lt;&gt;"")*(YEAR('LOG VẮNG'!$C$2:$C$1000)=2026)*(MONTH('LOG VẮNG'!$C$2:$C$1000)=7)*ISNUMBER(SEARCH($A7,'LOG VẮNG'!$D$2:$D$1000))))</f>
        <v/>
      </c>
      <c r="J7" s="40">
        <f>IF($B7="","",SUMPRODUCT(('LOG VẮNG'!$C$2:$C$1000&lt;&gt;"")*(YEAR('LOG VẮNG'!$C$2:$C$1000)=2026)*(MONTH('LOG VẮNG'!$C$2:$C$1000)=8)*ISNUMBER(SEARCH($A7,'LOG VẮNG'!$D$2:$D$1000))))</f>
        <v/>
      </c>
      <c r="K7" s="40">
        <f>IF($B7="","",SUMPRODUCT(('LOG VẮNG'!$C$2:$C$1000&lt;&gt;"")*(YEAR('LOG VẮNG'!$C$2:$C$1000)=2026)*(MONTH('LOG VẮNG'!$C$2:$C$1000)=9)*ISNUMBER(SEARCH($A7,'LOG VẮNG'!$D$2:$D$1000))))</f>
        <v/>
      </c>
      <c r="L7" s="40">
        <f>IF($B7="","",SUMPRODUCT(('LOG VẮNG'!$C$2:$C$1000&lt;&gt;"")*(YEAR('LOG VẮNG'!$C$2:$C$1000)=2026)*(MONTH('LOG VẮNG'!$C$2:$C$1000)=10)*ISNUMBER(SEARCH($A7,'LOG VẮNG'!$D$2:$D$1000))))</f>
        <v/>
      </c>
      <c r="M7" s="40">
        <f>IF($B7="","",SUMPRODUCT(('LOG VẮNG'!$C$2:$C$1000&lt;&gt;"")*(YEAR('LOG VẮNG'!$C$2:$C$1000)=2026)*(MONTH('LOG VẮNG'!$C$2:$C$1000)=11)*ISNUMBER(SEARCH($A7,'LOG VẮNG'!$D$2:$D$1000))))</f>
        <v/>
      </c>
      <c r="N7" s="40">
        <f>IF($B7="","",SUMPRODUCT(('LOG VẮNG'!$C$2:$C$1000&lt;&gt;"")*(YEAR('LOG VẮNG'!$C$2:$C$1000)=2026)*(MONTH('LOG VẮNG'!$C$2:$C$1000)=12)*ISNUMBER(SEARCH($A7,'LOG VẮNG'!$D$2:$D$1000))))</f>
        <v/>
      </c>
      <c r="O7" s="40">
        <f>IF($B7="","",SUM(C7:N7))</f>
        <v/>
      </c>
    </row>
    <row r="8">
      <c r="A8" s="40" t="inlineStr">
        <is>
          <t>ORI006</t>
        </is>
      </c>
      <c r="B8" s="46">
        <f>IFERROR(INDEX('HỌC VIÊN'!$B$4:$B$203,MATCH($A8,'HỌC VIÊN'!$A$4:$A$203,0)),"")</f>
        <v/>
      </c>
      <c r="C8" s="40">
        <f>IF($B8="","",SUMPRODUCT(('LOG VẮNG'!$C$2:$C$1000&lt;&gt;"")*(YEAR('LOG VẮNG'!$C$2:$C$1000)=2026)*(MONTH('LOG VẮNG'!$C$2:$C$1000)=1)*ISNUMBER(SEARCH($A8,'LOG VẮNG'!$D$2:$D$1000))))</f>
        <v/>
      </c>
      <c r="D8" s="40">
        <f>IF($B8="","",SUMPRODUCT(('LOG VẮNG'!$C$2:$C$1000&lt;&gt;"")*(YEAR('LOG VẮNG'!$C$2:$C$1000)=2026)*(MONTH('LOG VẮNG'!$C$2:$C$1000)=2)*ISNUMBER(SEARCH($A8,'LOG VẮNG'!$D$2:$D$1000))))</f>
        <v/>
      </c>
      <c r="E8" s="40">
        <f>IF($B8="","",SUMPRODUCT(('LOG VẮNG'!$C$2:$C$1000&lt;&gt;"")*(YEAR('LOG VẮNG'!$C$2:$C$1000)=2026)*(MONTH('LOG VẮNG'!$C$2:$C$1000)=3)*ISNUMBER(SEARCH($A8,'LOG VẮNG'!$D$2:$D$1000))))</f>
        <v/>
      </c>
      <c r="F8" s="40">
        <f>IF($B8="","",SUMPRODUCT(('LOG VẮNG'!$C$2:$C$1000&lt;&gt;"")*(YEAR('LOG VẮNG'!$C$2:$C$1000)=2026)*(MONTH('LOG VẮNG'!$C$2:$C$1000)=4)*ISNUMBER(SEARCH($A8,'LOG VẮNG'!$D$2:$D$1000))))</f>
        <v/>
      </c>
      <c r="G8" s="40">
        <f>IF($B8="","",SUMPRODUCT(('LOG VẮNG'!$C$2:$C$1000&lt;&gt;"")*(YEAR('LOG VẮNG'!$C$2:$C$1000)=2026)*(MONTH('LOG VẮNG'!$C$2:$C$1000)=5)*ISNUMBER(SEARCH($A8,'LOG VẮNG'!$D$2:$D$1000))))</f>
        <v/>
      </c>
      <c r="H8" s="40">
        <f>IF($B8="","",SUMPRODUCT(('LOG VẮNG'!$C$2:$C$1000&lt;&gt;"")*(YEAR('LOG VẮNG'!$C$2:$C$1000)=2026)*(MONTH('LOG VẮNG'!$C$2:$C$1000)=6)*ISNUMBER(SEARCH($A8,'LOG VẮNG'!$D$2:$D$1000))))</f>
        <v/>
      </c>
      <c r="I8" s="40">
        <f>IF($B8="","",SUMPRODUCT(('LOG VẮNG'!$C$2:$C$1000&lt;&gt;"")*(YEAR('LOG VẮNG'!$C$2:$C$1000)=2026)*(MONTH('LOG VẮNG'!$C$2:$C$1000)=7)*ISNUMBER(SEARCH($A8,'LOG VẮNG'!$D$2:$D$1000))))</f>
        <v/>
      </c>
      <c r="J8" s="40">
        <f>IF($B8="","",SUMPRODUCT(('LOG VẮNG'!$C$2:$C$1000&lt;&gt;"")*(YEAR('LOG VẮNG'!$C$2:$C$1000)=2026)*(MONTH('LOG VẮNG'!$C$2:$C$1000)=8)*ISNUMBER(SEARCH($A8,'LOG VẮNG'!$D$2:$D$1000))))</f>
        <v/>
      </c>
      <c r="K8" s="40">
        <f>IF($B8="","",SUMPRODUCT(('LOG VẮNG'!$C$2:$C$1000&lt;&gt;"")*(YEAR('LOG VẮNG'!$C$2:$C$1000)=2026)*(MONTH('LOG VẮNG'!$C$2:$C$1000)=9)*ISNUMBER(SEARCH($A8,'LOG VẮNG'!$D$2:$D$1000))))</f>
        <v/>
      </c>
      <c r="L8" s="40">
        <f>IF($B8="","",SUMPRODUCT(('LOG VẮNG'!$C$2:$C$1000&lt;&gt;"")*(YEAR('LOG VẮNG'!$C$2:$C$1000)=2026)*(MONTH('LOG VẮNG'!$C$2:$C$1000)=10)*ISNUMBER(SEARCH($A8,'LOG VẮNG'!$D$2:$D$1000))))</f>
        <v/>
      </c>
      <c r="M8" s="40">
        <f>IF($B8="","",SUMPRODUCT(('LOG VẮNG'!$C$2:$C$1000&lt;&gt;"")*(YEAR('LOG VẮNG'!$C$2:$C$1000)=2026)*(MONTH('LOG VẮNG'!$C$2:$C$1000)=11)*ISNUMBER(SEARCH($A8,'LOG VẮNG'!$D$2:$D$1000))))</f>
        <v/>
      </c>
      <c r="N8" s="40">
        <f>IF($B8="","",SUMPRODUCT(('LOG VẮNG'!$C$2:$C$1000&lt;&gt;"")*(YEAR('LOG VẮNG'!$C$2:$C$1000)=2026)*(MONTH('LOG VẮNG'!$C$2:$C$1000)=12)*ISNUMBER(SEARCH($A8,'LOG VẮNG'!$D$2:$D$1000))))</f>
        <v/>
      </c>
      <c r="O8" s="40">
        <f>IF($B8="","",SUM(C8:N8))</f>
        <v/>
      </c>
    </row>
    <row r="9">
      <c r="A9" s="40" t="inlineStr">
        <is>
          <t>ORI007</t>
        </is>
      </c>
      <c r="B9" s="46">
        <f>IFERROR(INDEX('HỌC VIÊN'!$B$4:$B$203,MATCH($A9,'HỌC VIÊN'!$A$4:$A$203,0)),"")</f>
        <v/>
      </c>
      <c r="C9" s="40">
        <f>IF($B9="","",SUMPRODUCT(('LOG VẮNG'!$C$2:$C$1000&lt;&gt;"")*(YEAR('LOG VẮNG'!$C$2:$C$1000)=2026)*(MONTH('LOG VẮNG'!$C$2:$C$1000)=1)*ISNUMBER(SEARCH($A9,'LOG VẮNG'!$D$2:$D$1000))))</f>
        <v/>
      </c>
      <c r="D9" s="40">
        <f>IF($B9="","",SUMPRODUCT(('LOG VẮNG'!$C$2:$C$1000&lt;&gt;"")*(YEAR('LOG VẮNG'!$C$2:$C$1000)=2026)*(MONTH('LOG VẮNG'!$C$2:$C$1000)=2)*ISNUMBER(SEARCH($A9,'LOG VẮNG'!$D$2:$D$1000))))</f>
        <v/>
      </c>
      <c r="E9" s="40">
        <f>IF($B9="","",SUMPRODUCT(('LOG VẮNG'!$C$2:$C$1000&lt;&gt;"")*(YEAR('LOG VẮNG'!$C$2:$C$1000)=2026)*(MONTH('LOG VẮNG'!$C$2:$C$1000)=3)*ISNUMBER(SEARCH($A9,'LOG VẮNG'!$D$2:$D$1000))))</f>
        <v/>
      </c>
      <c r="F9" s="40">
        <f>IF($B9="","",SUMPRODUCT(('LOG VẮNG'!$C$2:$C$1000&lt;&gt;"")*(YEAR('LOG VẮNG'!$C$2:$C$1000)=2026)*(MONTH('LOG VẮNG'!$C$2:$C$1000)=4)*ISNUMBER(SEARCH($A9,'LOG VẮNG'!$D$2:$D$1000))))</f>
        <v/>
      </c>
      <c r="G9" s="40">
        <f>IF($B9="","",SUMPRODUCT(('LOG VẮNG'!$C$2:$C$1000&lt;&gt;"")*(YEAR('LOG VẮNG'!$C$2:$C$1000)=2026)*(MONTH('LOG VẮNG'!$C$2:$C$1000)=5)*ISNUMBER(SEARCH($A9,'LOG VẮNG'!$D$2:$D$1000))))</f>
        <v/>
      </c>
      <c r="H9" s="40">
        <f>IF($B9="","",SUMPRODUCT(('LOG VẮNG'!$C$2:$C$1000&lt;&gt;"")*(YEAR('LOG VẮNG'!$C$2:$C$1000)=2026)*(MONTH('LOG VẮNG'!$C$2:$C$1000)=6)*ISNUMBER(SEARCH($A9,'LOG VẮNG'!$D$2:$D$1000))))</f>
        <v/>
      </c>
      <c r="I9" s="40">
        <f>IF($B9="","",SUMPRODUCT(('LOG VẮNG'!$C$2:$C$1000&lt;&gt;"")*(YEAR('LOG VẮNG'!$C$2:$C$1000)=2026)*(MONTH('LOG VẮNG'!$C$2:$C$1000)=7)*ISNUMBER(SEARCH($A9,'LOG VẮNG'!$D$2:$D$1000))))</f>
        <v/>
      </c>
      <c r="J9" s="40">
        <f>IF($B9="","",SUMPRODUCT(('LOG VẮNG'!$C$2:$C$1000&lt;&gt;"")*(YEAR('LOG VẮNG'!$C$2:$C$1000)=2026)*(MONTH('LOG VẮNG'!$C$2:$C$1000)=8)*ISNUMBER(SEARCH($A9,'LOG VẮNG'!$D$2:$D$1000))))</f>
        <v/>
      </c>
      <c r="K9" s="40">
        <f>IF($B9="","",SUMPRODUCT(('LOG VẮNG'!$C$2:$C$1000&lt;&gt;"")*(YEAR('LOG VẮNG'!$C$2:$C$1000)=2026)*(MONTH('LOG VẮNG'!$C$2:$C$1000)=9)*ISNUMBER(SEARCH($A9,'LOG VẮNG'!$D$2:$D$1000))))</f>
        <v/>
      </c>
      <c r="L9" s="40">
        <f>IF($B9="","",SUMPRODUCT(('LOG VẮNG'!$C$2:$C$1000&lt;&gt;"")*(YEAR('LOG VẮNG'!$C$2:$C$1000)=2026)*(MONTH('LOG VẮNG'!$C$2:$C$1000)=10)*ISNUMBER(SEARCH($A9,'LOG VẮNG'!$D$2:$D$1000))))</f>
        <v/>
      </c>
      <c r="M9" s="40">
        <f>IF($B9="","",SUMPRODUCT(('LOG VẮNG'!$C$2:$C$1000&lt;&gt;"")*(YEAR('LOG VẮNG'!$C$2:$C$1000)=2026)*(MONTH('LOG VẮNG'!$C$2:$C$1000)=11)*ISNUMBER(SEARCH($A9,'LOG VẮNG'!$D$2:$D$1000))))</f>
        <v/>
      </c>
      <c r="N9" s="40">
        <f>IF($B9="","",SUMPRODUCT(('LOG VẮNG'!$C$2:$C$1000&lt;&gt;"")*(YEAR('LOG VẮNG'!$C$2:$C$1000)=2026)*(MONTH('LOG VẮNG'!$C$2:$C$1000)=12)*ISNUMBER(SEARCH($A9,'LOG VẮNG'!$D$2:$D$1000))))</f>
        <v/>
      </c>
      <c r="O9" s="40">
        <f>IF($B9="","",SUM(C9:N9))</f>
        <v/>
      </c>
    </row>
    <row r="10">
      <c r="A10" s="40" t="inlineStr">
        <is>
          <t>ORI008</t>
        </is>
      </c>
      <c r="B10" s="46">
        <f>IFERROR(INDEX('HỌC VIÊN'!$B$4:$B$203,MATCH($A10,'HỌC VIÊN'!$A$4:$A$203,0)),"")</f>
        <v/>
      </c>
      <c r="C10" s="40">
        <f>IF($B10="","",SUMPRODUCT(('LOG VẮNG'!$C$2:$C$1000&lt;&gt;"")*(YEAR('LOG VẮNG'!$C$2:$C$1000)=2026)*(MONTH('LOG VẮNG'!$C$2:$C$1000)=1)*ISNUMBER(SEARCH($A10,'LOG VẮNG'!$D$2:$D$1000))))</f>
        <v/>
      </c>
      <c r="D10" s="40">
        <f>IF($B10="","",SUMPRODUCT(('LOG VẮNG'!$C$2:$C$1000&lt;&gt;"")*(YEAR('LOG VẮNG'!$C$2:$C$1000)=2026)*(MONTH('LOG VẮNG'!$C$2:$C$1000)=2)*ISNUMBER(SEARCH($A10,'LOG VẮNG'!$D$2:$D$1000))))</f>
        <v/>
      </c>
      <c r="E10" s="40">
        <f>IF($B10="","",SUMPRODUCT(('LOG VẮNG'!$C$2:$C$1000&lt;&gt;"")*(YEAR('LOG VẮNG'!$C$2:$C$1000)=2026)*(MONTH('LOG VẮNG'!$C$2:$C$1000)=3)*ISNUMBER(SEARCH($A10,'LOG VẮNG'!$D$2:$D$1000))))</f>
        <v/>
      </c>
      <c r="F10" s="40">
        <f>IF($B10="","",SUMPRODUCT(('LOG VẮNG'!$C$2:$C$1000&lt;&gt;"")*(YEAR('LOG VẮNG'!$C$2:$C$1000)=2026)*(MONTH('LOG VẮNG'!$C$2:$C$1000)=4)*ISNUMBER(SEARCH($A10,'LOG VẮNG'!$D$2:$D$1000))))</f>
        <v/>
      </c>
      <c r="G10" s="40">
        <f>IF($B10="","",SUMPRODUCT(('LOG VẮNG'!$C$2:$C$1000&lt;&gt;"")*(YEAR('LOG VẮNG'!$C$2:$C$1000)=2026)*(MONTH('LOG VẮNG'!$C$2:$C$1000)=5)*ISNUMBER(SEARCH($A10,'LOG VẮNG'!$D$2:$D$1000))))</f>
        <v/>
      </c>
      <c r="H10" s="40">
        <f>IF($B10="","",SUMPRODUCT(('LOG VẮNG'!$C$2:$C$1000&lt;&gt;"")*(YEAR('LOG VẮNG'!$C$2:$C$1000)=2026)*(MONTH('LOG VẮNG'!$C$2:$C$1000)=6)*ISNUMBER(SEARCH($A10,'LOG VẮNG'!$D$2:$D$1000))))</f>
        <v/>
      </c>
      <c r="I10" s="40">
        <f>IF($B10="","",SUMPRODUCT(('LOG VẮNG'!$C$2:$C$1000&lt;&gt;"")*(YEAR('LOG VẮNG'!$C$2:$C$1000)=2026)*(MONTH('LOG VẮNG'!$C$2:$C$1000)=7)*ISNUMBER(SEARCH($A10,'LOG VẮNG'!$D$2:$D$1000))))</f>
        <v/>
      </c>
      <c r="J10" s="40">
        <f>IF($B10="","",SUMPRODUCT(('LOG VẮNG'!$C$2:$C$1000&lt;&gt;"")*(YEAR('LOG VẮNG'!$C$2:$C$1000)=2026)*(MONTH('LOG VẮNG'!$C$2:$C$1000)=8)*ISNUMBER(SEARCH($A10,'LOG VẮNG'!$D$2:$D$1000))))</f>
        <v/>
      </c>
      <c r="K10" s="40">
        <f>IF($B10="","",SUMPRODUCT(('LOG VẮNG'!$C$2:$C$1000&lt;&gt;"")*(YEAR('LOG VẮNG'!$C$2:$C$1000)=2026)*(MONTH('LOG VẮNG'!$C$2:$C$1000)=9)*ISNUMBER(SEARCH($A10,'LOG VẮNG'!$D$2:$D$1000))))</f>
        <v/>
      </c>
      <c r="L10" s="40">
        <f>IF($B10="","",SUMPRODUCT(('LOG VẮNG'!$C$2:$C$1000&lt;&gt;"")*(YEAR('LOG VẮNG'!$C$2:$C$1000)=2026)*(MONTH('LOG VẮNG'!$C$2:$C$1000)=10)*ISNUMBER(SEARCH($A10,'LOG VẮNG'!$D$2:$D$1000))))</f>
        <v/>
      </c>
      <c r="M10" s="40">
        <f>IF($B10="","",SUMPRODUCT(('LOG VẮNG'!$C$2:$C$1000&lt;&gt;"")*(YEAR('LOG VẮNG'!$C$2:$C$1000)=2026)*(MONTH('LOG VẮNG'!$C$2:$C$1000)=11)*ISNUMBER(SEARCH($A10,'LOG VẮNG'!$D$2:$D$1000))))</f>
        <v/>
      </c>
      <c r="N10" s="40">
        <f>IF($B10="","",SUMPRODUCT(('LOG VẮNG'!$C$2:$C$1000&lt;&gt;"")*(YEAR('LOG VẮNG'!$C$2:$C$1000)=2026)*(MONTH('LOG VẮNG'!$C$2:$C$1000)=12)*ISNUMBER(SEARCH($A10,'LOG VẮNG'!$D$2:$D$1000))))</f>
        <v/>
      </c>
      <c r="O10" s="40">
        <f>IF($B10="","",SUM(C10:N10))</f>
        <v/>
      </c>
    </row>
    <row r="11">
      <c r="A11" s="40" t="inlineStr">
        <is>
          <t>ORI009</t>
        </is>
      </c>
      <c r="B11" s="46">
        <f>IFERROR(INDEX('HỌC VIÊN'!$B$4:$B$203,MATCH($A11,'HỌC VIÊN'!$A$4:$A$203,0)),"")</f>
        <v/>
      </c>
      <c r="C11" s="40">
        <f>IF($B11="","",SUMPRODUCT(('LOG VẮNG'!$C$2:$C$1000&lt;&gt;"")*(YEAR('LOG VẮNG'!$C$2:$C$1000)=2026)*(MONTH('LOG VẮNG'!$C$2:$C$1000)=1)*ISNUMBER(SEARCH($A11,'LOG VẮNG'!$D$2:$D$1000))))</f>
        <v/>
      </c>
      <c r="D11" s="40">
        <f>IF($B11="","",SUMPRODUCT(('LOG VẮNG'!$C$2:$C$1000&lt;&gt;"")*(YEAR('LOG VẮNG'!$C$2:$C$1000)=2026)*(MONTH('LOG VẮNG'!$C$2:$C$1000)=2)*ISNUMBER(SEARCH($A11,'LOG VẮNG'!$D$2:$D$1000))))</f>
        <v/>
      </c>
      <c r="E11" s="40">
        <f>IF($B11="","",SUMPRODUCT(('LOG VẮNG'!$C$2:$C$1000&lt;&gt;"")*(YEAR('LOG VẮNG'!$C$2:$C$1000)=2026)*(MONTH('LOG VẮNG'!$C$2:$C$1000)=3)*ISNUMBER(SEARCH($A11,'LOG VẮNG'!$D$2:$D$1000))))</f>
        <v/>
      </c>
      <c r="F11" s="40">
        <f>IF($B11="","",SUMPRODUCT(('LOG VẮNG'!$C$2:$C$1000&lt;&gt;"")*(YEAR('LOG VẮNG'!$C$2:$C$1000)=2026)*(MONTH('LOG VẮNG'!$C$2:$C$1000)=4)*ISNUMBER(SEARCH($A11,'LOG VẮNG'!$D$2:$D$1000))))</f>
        <v/>
      </c>
      <c r="G11" s="40">
        <f>IF($B11="","",SUMPRODUCT(('LOG VẮNG'!$C$2:$C$1000&lt;&gt;"")*(YEAR('LOG VẮNG'!$C$2:$C$1000)=2026)*(MONTH('LOG VẮNG'!$C$2:$C$1000)=5)*ISNUMBER(SEARCH($A11,'LOG VẮNG'!$D$2:$D$1000))))</f>
        <v/>
      </c>
      <c r="H11" s="40">
        <f>IF($B11="","",SUMPRODUCT(('LOG VẮNG'!$C$2:$C$1000&lt;&gt;"")*(YEAR('LOG VẮNG'!$C$2:$C$1000)=2026)*(MONTH('LOG VẮNG'!$C$2:$C$1000)=6)*ISNUMBER(SEARCH($A11,'LOG VẮNG'!$D$2:$D$1000))))</f>
        <v/>
      </c>
      <c r="I11" s="40">
        <f>IF($B11="","",SUMPRODUCT(('LOG VẮNG'!$C$2:$C$1000&lt;&gt;"")*(YEAR('LOG VẮNG'!$C$2:$C$1000)=2026)*(MONTH('LOG VẮNG'!$C$2:$C$1000)=7)*ISNUMBER(SEARCH($A11,'LOG VẮNG'!$D$2:$D$1000))))</f>
        <v/>
      </c>
      <c r="J11" s="40">
        <f>IF($B11="","",SUMPRODUCT(('LOG VẮNG'!$C$2:$C$1000&lt;&gt;"")*(YEAR('LOG VẮNG'!$C$2:$C$1000)=2026)*(MONTH('LOG VẮNG'!$C$2:$C$1000)=8)*ISNUMBER(SEARCH($A11,'LOG VẮNG'!$D$2:$D$1000))))</f>
        <v/>
      </c>
      <c r="K11" s="40">
        <f>IF($B11="","",SUMPRODUCT(('LOG VẮNG'!$C$2:$C$1000&lt;&gt;"")*(YEAR('LOG VẮNG'!$C$2:$C$1000)=2026)*(MONTH('LOG VẮNG'!$C$2:$C$1000)=9)*ISNUMBER(SEARCH($A11,'LOG VẮNG'!$D$2:$D$1000))))</f>
        <v/>
      </c>
      <c r="L11" s="40">
        <f>IF($B11="","",SUMPRODUCT(('LOG VẮNG'!$C$2:$C$1000&lt;&gt;"")*(YEAR('LOG VẮNG'!$C$2:$C$1000)=2026)*(MONTH('LOG VẮNG'!$C$2:$C$1000)=10)*ISNUMBER(SEARCH($A11,'LOG VẮNG'!$D$2:$D$1000))))</f>
        <v/>
      </c>
      <c r="M11" s="40">
        <f>IF($B11="","",SUMPRODUCT(('LOG VẮNG'!$C$2:$C$1000&lt;&gt;"")*(YEAR('LOG VẮNG'!$C$2:$C$1000)=2026)*(MONTH('LOG VẮNG'!$C$2:$C$1000)=11)*ISNUMBER(SEARCH($A11,'LOG VẮNG'!$D$2:$D$1000))))</f>
        <v/>
      </c>
      <c r="N11" s="40">
        <f>IF($B11="","",SUMPRODUCT(('LOG VẮNG'!$C$2:$C$1000&lt;&gt;"")*(YEAR('LOG VẮNG'!$C$2:$C$1000)=2026)*(MONTH('LOG VẮNG'!$C$2:$C$1000)=12)*ISNUMBER(SEARCH($A11,'LOG VẮNG'!$D$2:$D$1000))))</f>
        <v/>
      </c>
      <c r="O11" s="40">
        <f>IF($B11="","",SUM(C11:N11))</f>
        <v/>
      </c>
    </row>
    <row r="12">
      <c r="A12" s="40" t="inlineStr">
        <is>
          <t>ORI010</t>
        </is>
      </c>
      <c r="B12" s="46">
        <f>IFERROR(INDEX('HỌC VIÊN'!$B$4:$B$203,MATCH($A12,'HỌC VIÊN'!$A$4:$A$203,0)),"")</f>
        <v/>
      </c>
      <c r="C12" s="40">
        <f>IF($B12="","",SUMPRODUCT(('LOG VẮNG'!$C$2:$C$1000&lt;&gt;"")*(YEAR('LOG VẮNG'!$C$2:$C$1000)=2026)*(MONTH('LOG VẮNG'!$C$2:$C$1000)=1)*ISNUMBER(SEARCH($A12,'LOG VẮNG'!$D$2:$D$1000))))</f>
        <v/>
      </c>
      <c r="D12" s="40">
        <f>IF($B12="","",SUMPRODUCT(('LOG VẮNG'!$C$2:$C$1000&lt;&gt;"")*(YEAR('LOG VẮNG'!$C$2:$C$1000)=2026)*(MONTH('LOG VẮNG'!$C$2:$C$1000)=2)*ISNUMBER(SEARCH($A12,'LOG VẮNG'!$D$2:$D$1000))))</f>
        <v/>
      </c>
      <c r="E12" s="40">
        <f>IF($B12="","",SUMPRODUCT(('LOG VẮNG'!$C$2:$C$1000&lt;&gt;"")*(YEAR('LOG VẮNG'!$C$2:$C$1000)=2026)*(MONTH('LOG VẮNG'!$C$2:$C$1000)=3)*ISNUMBER(SEARCH($A12,'LOG VẮNG'!$D$2:$D$1000))))</f>
        <v/>
      </c>
      <c r="F12" s="40">
        <f>IF($B12="","",SUMPRODUCT(('LOG VẮNG'!$C$2:$C$1000&lt;&gt;"")*(YEAR('LOG VẮNG'!$C$2:$C$1000)=2026)*(MONTH('LOG VẮNG'!$C$2:$C$1000)=4)*ISNUMBER(SEARCH($A12,'LOG VẮNG'!$D$2:$D$1000))))</f>
        <v/>
      </c>
      <c r="G12" s="40">
        <f>IF($B12="","",SUMPRODUCT(('LOG VẮNG'!$C$2:$C$1000&lt;&gt;"")*(YEAR('LOG VẮNG'!$C$2:$C$1000)=2026)*(MONTH('LOG VẮNG'!$C$2:$C$1000)=5)*ISNUMBER(SEARCH($A12,'LOG VẮNG'!$D$2:$D$1000))))</f>
        <v/>
      </c>
      <c r="H12" s="40">
        <f>IF($B12="","",SUMPRODUCT(('LOG VẮNG'!$C$2:$C$1000&lt;&gt;"")*(YEAR('LOG VẮNG'!$C$2:$C$1000)=2026)*(MONTH('LOG VẮNG'!$C$2:$C$1000)=6)*ISNUMBER(SEARCH($A12,'LOG VẮNG'!$D$2:$D$1000))))</f>
        <v/>
      </c>
      <c r="I12" s="40">
        <f>IF($B12="","",SUMPRODUCT(('LOG VẮNG'!$C$2:$C$1000&lt;&gt;"")*(YEAR('LOG VẮNG'!$C$2:$C$1000)=2026)*(MONTH('LOG VẮNG'!$C$2:$C$1000)=7)*ISNUMBER(SEARCH($A12,'LOG VẮNG'!$D$2:$D$1000))))</f>
        <v/>
      </c>
      <c r="J12" s="40">
        <f>IF($B12="","",SUMPRODUCT(('LOG VẮNG'!$C$2:$C$1000&lt;&gt;"")*(YEAR('LOG VẮNG'!$C$2:$C$1000)=2026)*(MONTH('LOG VẮNG'!$C$2:$C$1000)=8)*ISNUMBER(SEARCH($A12,'LOG VẮNG'!$D$2:$D$1000))))</f>
        <v/>
      </c>
      <c r="K12" s="40">
        <f>IF($B12="","",SUMPRODUCT(('LOG VẮNG'!$C$2:$C$1000&lt;&gt;"")*(YEAR('LOG VẮNG'!$C$2:$C$1000)=2026)*(MONTH('LOG VẮNG'!$C$2:$C$1000)=9)*ISNUMBER(SEARCH($A12,'LOG VẮNG'!$D$2:$D$1000))))</f>
        <v/>
      </c>
      <c r="L12" s="40">
        <f>IF($B12="","",SUMPRODUCT(('LOG VẮNG'!$C$2:$C$1000&lt;&gt;"")*(YEAR('LOG VẮNG'!$C$2:$C$1000)=2026)*(MONTH('LOG VẮNG'!$C$2:$C$1000)=10)*ISNUMBER(SEARCH($A12,'LOG VẮNG'!$D$2:$D$1000))))</f>
        <v/>
      </c>
      <c r="M12" s="40">
        <f>IF($B12="","",SUMPRODUCT(('LOG VẮNG'!$C$2:$C$1000&lt;&gt;"")*(YEAR('LOG VẮNG'!$C$2:$C$1000)=2026)*(MONTH('LOG VẮNG'!$C$2:$C$1000)=11)*ISNUMBER(SEARCH($A12,'LOG VẮNG'!$D$2:$D$1000))))</f>
        <v/>
      </c>
      <c r="N12" s="40">
        <f>IF($B12="","",SUMPRODUCT(('LOG VẮNG'!$C$2:$C$1000&lt;&gt;"")*(YEAR('LOG VẮNG'!$C$2:$C$1000)=2026)*(MONTH('LOG VẮNG'!$C$2:$C$1000)=12)*ISNUMBER(SEARCH($A12,'LOG VẮNG'!$D$2:$D$1000))))</f>
        <v/>
      </c>
      <c r="O12" s="40">
        <f>IF($B12="","",SUM(C12:N12))</f>
        <v/>
      </c>
    </row>
    <row r="13">
      <c r="A13" s="40" t="inlineStr">
        <is>
          <t>ORI011</t>
        </is>
      </c>
      <c r="B13" s="46">
        <f>IFERROR(INDEX('HỌC VIÊN'!$B$4:$B$203,MATCH($A13,'HỌC VIÊN'!$A$4:$A$203,0)),"")</f>
        <v/>
      </c>
      <c r="C13" s="40">
        <f>IF($B13="","",SUMPRODUCT(('LOG VẮNG'!$C$2:$C$1000&lt;&gt;"")*(YEAR('LOG VẮNG'!$C$2:$C$1000)=2026)*(MONTH('LOG VẮNG'!$C$2:$C$1000)=1)*ISNUMBER(SEARCH($A13,'LOG VẮNG'!$D$2:$D$1000))))</f>
        <v/>
      </c>
      <c r="D13" s="40">
        <f>IF($B13="","",SUMPRODUCT(('LOG VẮNG'!$C$2:$C$1000&lt;&gt;"")*(YEAR('LOG VẮNG'!$C$2:$C$1000)=2026)*(MONTH('LOG VẮNG'!$C$2:$C$1000)=2)*ISNUMBER(SEARCH($A13,'LOG VẮNG'!$D$2:$D$1000))))</f>
        <v/>
      </c>
      <c r="E13" s="40">
        <f>IF($B13="","",SUMPRODUCT(('LOG VẮNG'!$C$2:$C$1000&lt;&gt;"")*(YEAR('LOG VẮNG'!$C$2:$C$1000)=2026)*(MONTH('LOG VẮNG'!$C$2:$C$1000)=3)*ISNUMBER(SEARCH($A13,'LOG VẮNG'!$D$2:$D$1000))))</f>
        <v/>
      </c>
      <c r="F13" s="40">
        <f>IF($B13="","",SUMPRODUCT(('LOG VẮNG'!$C$2:$C$1000&lt;&gt;"")*(YEAR('LOG VẮNG'!$C$2:$C$1000)=2026)*(MONTH('LOG VẮNG'!$C$2:$C$1000)=4)*ISNUMBER(SEARCH($A13,'LOG VẮNG'!$D$2:$D$1000))))</f>
        <v/>
      </c>
      <c r="G13" s="40">
        <f>IF($B13="","",SUMPRODUCT(('LOG VẮNG'!$C$2:$C$1000&lt;&gt;"")*(YEAR('LOG VẮNG'!$C$2:$C$1000)=2026)*(MONTH('LOG VẮNG'!$C$2:$C$1000)=5)*ISNUMBER(SEARCH($A13,'LOG VẮNG'!$D$2:$D$1000))))</f>
        <v/>
      </c>
      <c r="H13" s="40">
        <f>IF($B13="","",SUMPRODUCT(('LOG VẮNG'!$C$2:$C$1000&lt;&gt;"")*(YEAR('LOG VẮNG'!$C$2:$C$1000)=2026)*(MONTH('LOG VẮNG'!$C$2:$C$1000)=6)*ISNUMBER(SEARCH($A13,'LOG VẮNG'!$D$2:$D$1000))))</f>
        <v/>
      </c>
      <c r="I13" s="40">
        <f>IF($B13="","",SUMPRODUCT(('LOG VẮNG'!$C$2:$C$1000&lt;&gt;"")*(YEAR('LOG VẮNG'!$C$2:$C$1000)=2026)*(MONTH('LOG VẮNG'!$C$2:$C$1000)=7)*ISNUMBER(SEARCH($A13,'LOG VẮNG'!$D$2:$D$1000))))</f>
        <v/>
      </c>
      <c r="J13" s="40">
        <f>IF($B13="","",SUMPRODUCT(('LOG VẮNG'!$C$2:$C$1000&lt;&gt;"")*(YEAR('LOG VẮNG'!$C$2:$C$1000)=2026)*(MONTH('LOG VẮNG'!$C$2:$C$1000)=8)*ISNUMBER(SEARCH($A13,'LOG VẮNG'!$D$2:$D$1000))))</f>
        <v/>
      </c>
      <c r="K13" s="40">
        <f>IF($B13="","",SUMPRODUCT(('LOG VẮNG'!$C$2:$C$1000&lt;&gt;"")*(YEAR('LOG VẮNG'!$C$2:$C$1000)=2026)*(MONTH('LOG VẮNG'!$C$2:$C$1000)=9)*ISNUMBER(SEARCH($A13,'LOG VẮNG'!$D$2:$D$1000))))</f>
        <v/>
      </c>
      <c r="L13" s="40">
        <f>IF($B13="","",SUMPRODUCT(('LOG VẮNG'!$C$2:$C$1000&lt;&gt;"")*(YEAR('LOG VẮNG'!$C$2:$C$1000)=2026)*(MONTH('LOG VẮNG'!$C$2:$C$1000)=10)*ISNUMBER(SEARCH($A13,'LOG VẮNG'!$D$2:$D$1000))))</f>
        <v/>
      </c>
      <c r="M13" s="40">
        <f>IF($B13="","",SUMPRODUCT(('LOG VẮNG'!$C$2:$C$1000&lt;&gt;"")*(YEAR('LOG VẮNG'!$C$2:$C$1000)=2026)*(MONTH('LOG VẮNG'!$C$2:$C$1000)=11)*ISNUMBER(SEARCH($A13,'LOG VẮNG'!$D$2:$D$1000))))</f>
        <v/>
      </c>
      <c r="N13" s="40">
        <f>IF($B13="","",SUMPRODUCT(('LOG VẮNG'!$C$2:$C$1000&lt;&gt;"")*(YEAR('LOG VẮNG'!$C$2:$C$1000)=2026)*(MONTH('LOG VẮNG'!$C$2:$C$1000)=12)*ISNUMBER(SEARCH($A13,'LOG VẮNG'!$D$2:$D$1000))))</f>
        <v/>
      </c>
      <c r="O13" s="40">
        <f>IF($B13="","",SUM(C13:N13))</f>
        <v/>
      </c>
    </row>
    <row r="14">
      <c r="A14" s="40" t="inlineStr">
        <is>
          <t>ORI012</t>
        </is>
      </c>
      <c r="B14" s="46">
        <f>IFERROR(INDEX('HỌC VIÊN'!$B$4:$B$203,MATCH($A14,'HỌC VIÊN'!$A$4:$A$203,0)),"")</f>
        <v/>
      </c>
      <c r="C14" s="40">
        <f>IF($B14="","",SUMPRODUCT(('LOG VẮNG'!$C$2:$C$1000&lt;&gt;"")*(YEAR('LOG VẮNG'!$C$2:$C$1000)=2026)*(MONTH('LOG VẮNG'!$C$2:$C$1000)=1)*ISNUMBER(SEARCH($A14,'LOG VẮNG'!$D$2:$D$1000))))</f>
        <v/>
      </c>
      <c r="D14" s="40">
        <f>IF($B14="","",SUMPRODUCT(('LOG VẮNG'!$C$2:$C$1000&lt;&gt;"")*(YEAR('LOG VẮNG'!$C$2:$C$1000)=2026)*(MONTH('LOG VẮNG'!$C$2:$C$1000)=2)*ISNUMBER(SEARCH($A14,'LOG VẮNG'!$D$2:$D$1000))))</f>
        <v/>
      </c>
      <c r="E14" s="40">
        <f>IF($B14="","",SUMPRODUCT(('LOG VẮNG'!$C$2:$C$1000&lt;&gt;"")*(YEAR('LOG VẮNG'!$C$2:$C$1000)=2026)*(MONTH('LOG VẮNG'!$C$2:$C$1000)=3)*ISNUMBER(SEARCH($A14,'LOG VẮNG'!$D$2:$D$1000))))</f>
        <v/>
      </c>
      <c r="F14" s="40">
        <f>IF($B14="","",SUMPRODUCT(('LOG VẮNG'!$C$2:$C$1000&lt;&gt;"")*(YEAR('LOG VẮNG'!$C$2:$C$1000)=2026)*(MONTH('LOG VẮNG'!$C$2:$C$1000)=4)*ISNUMBER(SEARCH($A14,'LOG VẮNG'!$D$2:$D$1000))))</f>
        <v/>
      </c>
      <c r="G14" s="40">
        <f>IF($B14="","",SUMPRODUCT(('LOG VẮNG'!$C$2:$C$1000&lt;&gt;"")*(YEAR('LOG VẮNG'!$C$2:$C$1000)=2026)*(MONTH('LOG VẮNG'!$C$2:$C$1000)=5)*ISNUMBER(SEARCH($A14,'LOG VẮNG'!$D$2:$D$1000))))</f>
        <v/>
      </c>
      <c r="H14" s="40">
        <f>IF($B14="","",SUMPRODUCT(('LOG VẮNG'!$C$2:$C$1000&lt;&gt;"")*(YEAR('LOG VẮNG'!$C$2:$C$1000)=2026)*(MONTH('LOG VẮNG'!$C$2:$C$1000)=6)*ISNUMBER(SEARCH($A14,'LOG VẮNG'!$D$2:$D$1000))))</f>
        <v/>
      </c>
      <c r="I14" s="40">
        <f>IF($B14="","",SUMPRODUCT(('LOG VẮNG'!$C$2:$C$1000&lt;&gt;"")*(YEAR('LOG VẮNG'!$C$2:$C$1000)=2026)*(MONTH('LOG VẮNG'!$C$2:$C$1000)=7)*ISNUMBER(SEARCH($A14,'LOG VẮNG'!$D$2:$D$1000))))</f>
        <v/>
      </c>
      <c r="J14" s="40">
        <f>IF($B14="","",SUMPRODUCT(('LOG VẮNG'!$C$2:$C$1000&lt;&gt;"")*(YEAR('LOG VẮNG'!$C$2:$C$1000)=2026)*(MONTH('LOG VẮNG'!$C$2:$C$1000)=8)*ISNUMBER(SEARCH($A14,'LOG VẮNG'!$D$2:$D$1000))))</f>
        <v/>
      </c>
      <c r="K14" s="40">
        <f>IF($B14="","",SUMPRODUCT(('LOG VẮNG'!$C$2:$C$1000&lt;&gt;"")*(YEAR('LOG VẮNG'!$C$2:$C$1000)=2026)*(MONTH('LOG VẮNG'!$C$2:$C$1000)=9)*ISNUMBER(SEARCH($A14,'LOG VẮNG'!$D$2:$D$1000))))</f>
        <v/>
      </c>
      <c r="L14" s="40">
        <f>IF($B14="","",SUMPRODUCT(('LOG VẮNG'!$C$2:$C$1000&lt;&gt;"")*(YEAR('LOG VẮNG'!$C$2:$C$1000)=2026)*(MONTH('LOG VẮNG'!$C$2:$C$1000)=10)*ISNUMBER(SEARCH($A14,'LOG VẮNG'!$D$2:$D$1000))))</f>
        <v/>
      </c>
      <c r="M14" s="40">
        <f>IF($B14="","",SUMPRODUCT(('LOG VẮNG'!$C$2:$C$1000&lt;&gt;"")*(YEAR('LOG VẮNG'!$C$2:$C$1000)=2026)*(MONTH('LOG VẮNG'!$C$2:$C$1000)=11)*ISNUMBER(SEARCH($A14,'LOG VẮNG'!$D$2:$D$1000))))</f>
        <v/>
      </c>
      <c r="N14" s="40">
        <f>IF($B14="","",SUMPRODUCT(('LOG VẮNG'!$C$2:$C$1000&lt;&gt;"")*(YEAR('LOG VẮNG'!$C$2:$C$1000)=2026)*(MONTH('LOG VẮNG'!$C$2:$C$1000)=12)*ISNUMBER(SEARCH($A14,'LOG VẮNG'!$D$2:$D$1000))))</f>
        <v/>
      </c>
      <c r="O14" s="40">
        <f>IF($B14="","",SUM(C14:N14))</f>
        <v/>
      </c>
    </row>
    <row r="15">
      <c r="A15" s="40" t="inlineStr">
        <is>
          <t>ORI013</t>
        </is>
      </c>
      <c r="B15" s="46">
        <f>IFERROR(INDEX('HỌC VIÊN'!$B$4:$B$203,MATCH($A15,'HỌC VIÊN'!$A$4:$A$203,0)),"")</f>
        <v/>
      </c>
      <c r="C15" s="40">
        <f>IF($B15="","",SUMPRODUCT(('LOG VẮNG'!$C$2:$C$1000&lt;&gt;"")*(YEAR('LOG VẮNG'!$C$2:$C$1000)=2026)*(MONTH('LOG VẮNG'!$C$2:$C$1000)=1)*ISNUMBER(SEARCH($A15,'LOG VẮNG'!$D$2:$D$1000))))</f>
        <v/>
      </c>
      <c r="D15" s="40">
        <f>IF($B15="","",SUMPRODUCT(('LOG VẮNG'!$C$2:$C$1000&lt;&gt;"")*(YEAR('LOG VẮNG'!$C$2:$C$1000)=2026)*(MONTH('LOG VẮNG'!$C$2:$C$1000)=2)*ISNUMBER(SEARCH($A15,'LOG VẮNG'!$D$2:$D$1000))))</f>
        <v/>
      </c>
      <c r="E15" s="40">
        <f>IF($B15="","",SUMPRODUCT(('LOG VẮNG'!$C$2:$C$1000&lt;&gt;"")*(YEAR('LOG VẮNG'!$C$2:$C$1000)=2026)*(MONTH('LOG VẮNG'!$C$2:$C$1000)=3)*ISNUMBER(SEARCH($A15,'LOG VẮNG'!$D$2:$D$1000))))</f>
        <v/>
      </c>
      <c r="F15" s="40">
        <f>IF($B15="","",SUMPRODUCT(('LOG VẮNG'!$C$2:$C$1000&lt;&gt;"")*(YEAR('LOG VẮNG'!$C$2:$C$1000)=2026)*(MONTH('LOG VẮNG'!$C$2:$C$1000)=4)*ISNUMBER(SEARCH($A15,'LOG VẮNG'!$D$2:$D$1000))))</f>
        <v/>
      </c>
      <c r="G15" s="40">
        <f>IF($B15="","",SUMPRODUCT(('LOG VẮNG'!$C$2:$C$1000&lt;&gt;"")*(YEAR('LOG VẮNG'!$C$2:$C$1000)=2026)*(MONTH('LOG VẮNG'!$C$2:$C$1000)=5)*ISNUMBER(SEARCH($A15,'LOG VẮNG'!$D$2:$D$1000))))</f>
        <v/>
      </c>
      <c r="H15" s="40">
        <f>IF($B15="","",SUMPRODUCT(('LOG VẮNG'!$C$2:$C$1000&lt;&gt;"")*(YEAR('LOG VẮNG'!$C$2:$C$1000)=2026)*(MONTH('LOG VẮNG'!$C$2:$C$1000)=6)*ISNUMBER(SEARCH($A15,'LOG VẮNG'!$D$2:$D$1000))))</f>
        <v/>
      </c>
      <c r="I15" s="40">
        <f>IF($B15="","",SUMPRODUCT(('LOG VẮNG'!$C$2:$C$1000&lt;&gt;"")*(YEAR('LOG VẮNG'!$C$2:$C$1000)=2026)*(MONTH('LOG VẮNG'!$C$2:$C$1000)=7)*ISNUMBER(SEARCH($A15,'LOG VẮNG'!$D$2:$D$1000))))</f>
        <v/>
      </c>
      <c r="J15" s="40">
        <f>IF($B15="","",SUMPRODUCT(('LOG VẮNG'!$C$2:$C$1000&lt;&gt;"")*(YEAR('LOG VẮNG'!$C$2:$C$1000)=2026)*(MONTH('LOG VẮNG'!$C$2:$C$1000)=8)*ISNUMBER(SEARCH($A15,'LOG VẮNG'!$D$2:$D$1000))))</f>
        <v/>
      </c>
      <c r="K15" s="40">
        <f>IF($B15="","",SUMPRODUCT(('LOG VẮNG'!$C$2:$C$1000&lt;&gt;"")*(YEAR('LOG VẮNG'!$C$2:$C$1000)=2026)*(MONTH('LOG VẮNG'!$C$2:$C$1000)=9)*ISNUMBER(SEARCH($A15,'LOG VẮNG'!$D$2:$D$1000))))</f>
        <v/>
      </c>
      <c r="L15" s="40">
        <f>IF($B15="","",SUMPRODUCT(('LOG VẮNG'!$C$2:$C$1000&lt;&gt;"")*(YEAR('LOG VẮNG'!$C$2:$C$1000)=2026)*(MONTH('LOG VẮNG'!$C$2:$C$1000)=10)*ISNUMBER(SEARCH($A15,'LOG VẮNG'!$D$2:$D$1000))))</f>
        <v/>
      </c>
      <c r="M15" s="40">
        <f>IF($B15="","",SUMPRODUCT(('LOG VẮNG'!$C$2:$C$1000&lt;&gt;"")*(YEAR('LOG VẮNG'!$C$2:$C$1000)=2026)*(MONTH('LOG VẮNG'!$C$2:$C$1000)=11)*ISNUMBER(SEARCH($A15,'LOG VẮNG'!$D$2:$D$1000))))</f>
        <v/>
      </c>
      <c r="N15" s="40">
        <f>IF($B15="","",SUMPRODUCT(('LOG VẮNG'!$C$2:$C$1000&lt;&gt;"")*(YEAR('LOG VẮNG'!$C$2:$C$1000)=2026)*(MONTH('LOG VẮNG'!$C$2:$C$1000)=12)*ISNUMBER(SEARCH($A15,'LOG VẮNG'!$D$2:$D$1000))))</f>
        <v/>
      </c>
      <c r="O15" s="40">
        <f>IF($B15="","",SUM(C15:N15))</f>
        <v/>
      </c>
    </row>
    <row r="16">
      <c r="A16" s="40" t="inlineStr">
        <is>
          <t>ORI014</t>
        </is>
      </c>
      <c r="B16" s="46">
        <f>IFERROR(INDEX('HỌC VIÊN'!$B$4:$B$203,MATCH($A16,'HỌC VIÊN'!$A$4:$A$203,0)),"")</f>
        <v/>
      </c>
      <c r="C16" s="40">
        <f>IF($B16="","",SUMPRODUCT(('LOG VẮNG'!$C$2:$C$1000&lt;&gt;"")*(YEAR('LOG VẮNG'!$C$2:$C$1000)=2026)*(MONTH('LOG VẮNG'!$C$2:$C$1000)=1)*ISNUMBER(SEARCH($A16,'LOG VẮNG'!$D$2:$D$1000))))</f>
        <v/>
      </c>
      <c r="D16" s="40">
        <f>IF($B16="","",SUMPRODUCT(('LOG VẮNG'!$C$2:$C$1000&lt;&gt;"")*(YEAR('LOG VẮNG'!$C$2:$C$1000)=2026)*(MONTH('LOG VẮNG'!$C$2:$C$1000)=2)*ISNUMBER(SEARCH($A16,'LOG VẮNG'!$D$2:$D$1000))))</f>
        <v/>
      </c>
      <c r="E16" s="40">
        <f>IF($B16="","",SUMPRODUCT(('LOG VẮNG'!$C$2:$C$1000&lt;&gt;"")*(YEAR('LOG VẮNG'!$C$2:$C$1000)=2026)*(MONTH('LOG VẮNG'!$C$2:$C$1000)=3)*ISNUMBER(SEARCH($A16,'LOG VẮNG'!$D$2:$D$1000))))</f>
        <v/>
      </c>
      <c r="F16" s="40">
        <f>IF($B16="","",SUMPRODUCT(('LOG VẮNG'!$C$2:$C$1000&lt;&gt;"")*(YEAR('LOG VẮNG'!$C$2:$C$1000)=2026)*(MONTH('LOG VẮNG'!$C$2:$C$1000)=4)*ISNUMBER(SEARCH($A16,'LOG VẮNG'!$D$2:$D$1000))))</f>
        <v/>
      </c>
      <c r="G16" s="40">
        <f>IF($B16="","",SUMPRODUCT(('LOG VẮNG'!$C$2:$C$1000&lt;&gt;"")*(YEAR('LOG VẮNG'!$C$2:$C$1000)=2026)*(MONTH('LOG VẮNG'!$C$2:$C$1000)=5)*ISNUMBER(SEARCH($A16,'LOG VẮNG'!$D$2:$D$1000))))</f>
        <v/>
      </c>
      <c r="H16" s="40">
        <f>IF($B16="","",SUMPRODUCT(('LOG VẮNG'!$C$2:$C$1000&lt;&gt;"")*(YEAR('LOG VẮNG'!$C$2:$C$1000)=2026)*(MONTH('LOG VẮNG'!$C$2:$C$1000)=6)*ISNUMBER(SEARCH($A16,'LOG VẮNG'!$D$2:$D$1000))))</f>
        <v/>
      </c>
      <c r="I16" s="40">
        <f>IF($B16="","",SUMPRODUCT(('LOG VẮNG'!$C$2:$C$1000&lt;&gt;"")*(YEAR('LOG VẮNG'!$C$2:$C$1000)=2026)*(MONTH('LOG VẮNG'!$C$2:$C$1000)=7)*ISNUMBER(SEARCH($A16,'LOG VẮNG'!$D$2:$D$1000))))</f>
        <v/>
      </c>
      <c r="J16" s="40">
        <f>IF($B16="","",SUMPRODUCT(('LOG VẮNG'!$C$2:$C$1000&lt;&gt;"")*(YEAR('LOG VẮNG'!$C$2:$C$1000)=2026)*(MONTH('LOG VẮNG'!$C$2:$C$1000)=8)*ISNUMBER(SEARCH($A16,'LOG VẮNG'!$D$2:$D$1000))))</f>
        <v/>
      </c>
      <c r="K16" s="40">
        <f>IF($B16="","",SUMPRODUCT(('LOG VẮNG'!$C$2:$C$1000&lt;&gt;"")*(YEAR('LOG VẮNG'!$C$2:$C$1000)=2026)*(MONTH('LOG VẮNG'!$C$2:$C$1000)=9)*ISNUMBER(SEARCH($A16,'LOG VẮNG'!$D$2:$D$1000))))</f>
        <v/>
      </c>
      <c r="L16" s="40">
        <f>IF($B16="","",SUMPRODUCT(('LOG VẮNG'!$C$2:$C$1000&lt;&gt;"")*(YEAR('LOG VẮNG'!$C$2:$C$1000)=2026)*(MONTH('LOG VẮNG'!$C$2:$C$1000)=10)*ISNUMBER(SEARCH($A16,'LOG VẮNG'!$D$2:$D$1000))))</f>
        <v/>
      </c>
      <c r="M16" s="40">
        <f>IF($B16="","",SUMPRODUCT(('LOG VẮNG'!$C$2:$C$1000&lt;&gt;"")*(YEAR('LOG VẮNG'!$C$2:$C$1000)=2026)*(MONTH('LOG VẮNG'!$C$2:$C$1000)=11)*ISNUMBER(SEARCH($A16,'LOG VẮNG'!$D$2:$D$1000))))</f>
        <v/>
      </c>
      <c r="N16" s="40">
        <f>IF($B16="","",SUMPRODUCT(('LOG VẮNG'!$C$2:$C$1000&lt;&gt;"")*(YEAR('LOG VẮNG'!$C$2:$C$1000)=2026)*(MONTH('LOG VẮNG'!$C$2:$C$1000)=12)*ISNUMBER(SEARCH($A16,'LOG VẮNG'!$D$2:$D$1000))))</f>
        <v/>
      </c>
      <c r="O16" s="40">
        <f>IF($B16="","",SUM(C16:N16))</f>
        <v/>
      </c>
    </row>
    <row r="17">
      <c r="A17" s="40" t="inlineStr">
        <is>
          <t>ORI015</t>
        </is>
      </c>
      <c r="B17" s="46">
        <f>IFERROR(INDEX('HỌC VIÊN'!$B$4:$B$203,MATCH($A17,'HỌC VIÊN'!$A$4:$A$203,0)),"")</f>
        <v/>
      </c>
      <c r="C17" s="40">
        <f>IF($B17="","",SUMPRODUCT(('LOG VẮNG'!$C$2:$C$1000&lt;&gt;"")*(YEAR('LOG VẮNG'!$C$2:$C$1000)=2026)*(MONTH('LOG VẮNG'!$C$2:$C$1000)=1)*ISNUMBER(SEARCH($A17,'LOG VẮNG'!$D$2:$D$1000))))</f>
        <v/>
      </c>
      <c r="D17" s="40">
        <f>IF($B17="","",SUMPRODUCT(('LOG VẮNG'!$C$2:$C$1000&lt;&gt;"")*(YEAR('LOG VẮNG'!$C$2:$C$1000)=2026)*(MONTH('LOG VẮNG'!$C$2:$C$1000)=2)*ISNUMBER(SEARCH($A17,'LOG VẮNG'!$D$2:$D$1000))))</f>
        <v/>
      </c>
      <c r="E17" s="40">
        <f>IF($B17="","",SUMPRODUCT(('LOG VẮNG'!$C$2:$C$1000&lt;&gt;"")*(YEAR('LOG VẮNG'!$C$2:$C$1000)=2026)*(MONTH('LOG VẮNG'!$C$2:$C$1000)=3)*ISNUMBER(SEARCH($A17,'LOG VẮNG'!$D$2:$D$1000))))</f>
        <v/>
      </c>
      <c r="F17" s="40">
        <f>IF($B17="","",SUMPRODUCT(('LOG VẮNG'!$C$2:$C$1000&lt;&gt;"")*(YEAR('LOG VẮNG'!$C$2:$C$1000)=2026)*(MONTH('LOG VẮNG'!$C$2:$C$1000)=4)*ISNUMBER(SEARCH($A17,'LOG VẮNG'!$D$2:$D$1000))))</f>
        <v/>
      </c>
      <c r="G17" s="40">
        <f>IF($B17="","",SUMPRODUCT(('LOG VẮNG'!$C$2:$C$1000&lt;&gt;"")*(YEAR('LOG VẮNG'!$C$2:$C$1000)=2026)*(MONTH('LOG VẮNG'!$C$2:$C$1000)=5)*ISNUMBER(SEARCH($A17,'LOG VẮNG'!$D$2:$D$1000))))</f>
        <v/>
      </c>
      <c r="H17" s="40">
        <f>IF($B17="","",SUMPRODUCT(('LOG VẮNG'!$C$2:$C$1000&lt;&gt;"")*(YEAR('LOG VẮNG'!$C$2:$C$1000)=2026)*(MONTH('LOG VẮNG'!$C$2:$C$1000)=6)*ISNUMBER(SEARCH($A17,'LOG VẮNG'!$D$2:$D$1000))))</f>
        <v/>
      </c>
      <c r="I17" s="40">
        <f>IF($B17="","",SUMPRODUCT(('LOG VẮNG'!$C$2:$C$1000&lt;&gt;"")*(YEAR('LOG VẮNG'!$C$2:$C$1000)=2026)*(MONTH('LOG VẮNG'!$C$2:$C$1000)=7)*ISNUMBER(SEARCH($A17,'LOG VẮNG'!$D$2:$D$1000))))</f>
        <v/>
      </c>
      <c r="J17" s="40">
        <f>IF($B17="","",SUMPRODUCT(('LOG VẮNG'!$C$2:$C$1000&lt;&gt;"")*(YEAR('LOG VẮNG'!$C$2:$C$1000)=2026)*(MONTH('LOG VẮNG'!$C$2:$C$1000)=8)*ISNUMBER(SEARCH($A17,'LOG VẮNG'!$D$2:$D$1000))))</f>
        <v/>
      </c>
      <c r="K17" s="40">
        <f>IF($B17="","",SUMPRODUCT(('LOG VẮNG'!$C$2:$C$1000&lt;&gt;"")*(YEAR('LOG VẮNG'!$C$2:$C$1000)=2026)*(MONTH('LOG VẮNG'!$C$2:$C$1000)=9)*ISNUMBER(SEARCH($A17,'LOG VẮNG'!$D$2:$D$1000))))</f>
        <v/>
      </c>
      <c r="L17" s="40">
        <f>IF($B17="","",SUMPRODUCT(('LOG VẮNG'!$C$2:$C$1000&lt;&gt;"")*(YEAR('LOG VẮNG'!$C$2:$C$1000)=2026)*(MONTH('LOG VẮNG'!$C$2:$C$1000)=10)*ISNUMBER(SEARCH($A17,'LOG VẮNG'!$D$2:$D$1000))))</f>
        <v/>
      </c>
      <c r="M17" s="40">
        <f>IF($B17="","",SUMPRODUCT(('LOG VẮNG'!$C$2:$C$1000&lt;&gt;"")*(YEAR('LOG VẮNG'!$C$2:$C$1000)=2026)*(MONTH('LOG VẮNG'!$C$2:$C$1000)=11)*ISNUMBER(SEARCH($A17,'LOG VẮNG'!$D$2:$D$1000))))</f>
        <v/>
      </c>
      <c r="N17" s="40">
        <f>IF($B17="","",SUMPRODUCT(('LOG VẮNG'!$C$2:$C$1000&lt;&gt;"")*(YEAR('LOG VẮNG'!$C$2:$C$1000)=2026)*(MONTH('LOG VẮNG'!$C$2:$C$1000)=12)*ISNUMBER(SEARCH($A17,'LOG VẮNG'!$D$2:$D$1000))))</f>
        <v/>
      </c>
      <c r="O17" s="40">
        <f>IF($B17="","",SUM(C17:N17))</f>
        <v/>
      </c>
    </row>
    <row r="18">
      <c r="A18" s="40" t="inlineStr">
        <is>
          <t>ORI016</t>
        </is>
      </c>
      <c r="B18" s="46">
        <f>IFERROR(INDEX('HỌC VIÊN'!$B$4:$B$203,MATCH($A18,'HỌC VIÊN'!$A$4:$A$203,0)),"")</f>
        <v/>
      </c>
      <c r="C18" s="40">
        <f>IF($B18="","",SUMPRODUCT(('LOG VẮNG'!$C$2:$C$1000&lt;&gt;"")*(YEAR('LOG VẮNG'!$C$2:$C$1000)=2026)*(MONTH('LOG VẮNG'!$C$2:$C$1000)=1)*ISNUMBER(SEARCH($A18,'LOG VẮNG'!$D$2:$D$1000))))</f>
        <v/>
      </c>
      <c r="D18" s="40">
        <f>IF($B18="","",SUMPRODUCT(('LOG VẮNG'!$C$2:$C$1000&lt;&gt;"")*(YEAR('LOG VẮNG'!$C$2:$C$1000)=2026)*(MONTH('LOG VẮNG'!$C$2:$C$1000)=2)*ISNUMBER(SEARCH($A18,'LOG VẮNG'!$D$2:$D$1000))))</f>
        <v/>
      </c>
      <c r="E18" s="40">
        <f>IF($B18="","",SUMPRODUCT(('LOG VẮNG'!$C$2:$C$1000&lt;&gt;"")*(YEAR('LOG VẮNG'!$C$2:$C$1000)=2026)*(MONTH('LOG VẮNG'!$C$2:$C$1000)=3)*ISNUMBER(SEARCH($A18,'LOG VẮNG'!$D$2:$D$1000))))</f>
        <v/>
      </c>
      <c r="F18" s="40">
        <f>IF($B18="","",SUMPRODUCT(('LOG VẮNG'!$C$2:$C$1000&lt;&gt;"")*(YEAR('LOG VẮNG'!$C$2:$C$1000)=2026)*(MONTH('LOG VẮNG'!$C$2:$C$1000)=4)*ISNUMBER(SEARCH($A18,'LOG VẮNG'!$D$2:$D$1000))))</f>
        <v/>
      </c>
      <c r="G18" s="40">
        <f>IF($B18="","",SUMPRODUCT(('LOG VẮNG'!$C$2:$C$1000&lt;&gt;"")*(YEAR('LOG VẮNG'!$C$2:$C$1000)=2026)*(MONTH('LOG VẮNG'!$C$2:$C$1000)=5)*ISNUMBER(SEARCH($A18,'LOG VẮNG'!$D$2:$D$1000))))</f>
        <v/>
      </c>
      <c r="H18" s="40">
        <f>IF($B18="","",SUMPRODUCT(('LOG VẮNG'!$C$2:$C$1000&lt;&gt;"")*(YEAR('LOG VẮNG'!$C$2:$C$1000)=2026)*(MONTH('LOG VẮNG'!$C$2:$C$1000)=6)*ISNUMBER(SEARCH($A18,'LOG VẮNG'!$D$2:$D$1000))))</f>
        <v/>
      </c>
      <c r="I18" s="40">
        <f>IF($B18="","",SUMPRODUCT(('LOG VẮNG'!$C$2:$C$1000&lt;&gt;"")*(YEAR('LOG VẮNG'!$C$2:$C$1000)=2026)*(MONTH('LOG VẮNG'!$C$2:$C$1000)=7)*ISNUMBER(SEARCH($A18,'LOG VẮNG'!$D$2:$D$1000))))</f>
        <v/>
      </c>
      <c r="J18" s="40">
        <f>IF($B18="","",SUMPRODUCT(('LOG VẮNG'!$C$2:$C$1000&lt;&gt;"")*(YEAR('LOG VẮNG'!$C$2:$C$1000)=2026)*(MONTH('LOG VẮNG'!$C$2:$C$1000)=8)*ISNUMBER(SEARCH($A18,'LOG VẮNG'!$D$2:$D$1000))))</f>
        <v/>
      </c>
      <c r="K18" s="40">
        <f>IF($B18="","",SUMPRODUCT(('LOG VẮNG'!$C$2:$C$1000&lt;&gt;"")*(YEAR('LOG VẮNG'!$C$2:$C$1000)=2026)*(MONTH('LOG VẮNG'!$C$2:$C$1000)=9)*ISNUMBER(SEARCH($A18,'LOG VẮNG'!$D$2:$D$1000))))</f>
        <v/>
      </c>
      <c r="L18" s="40">
        <f>IF($B18="","",SUMPRODUCT(('LOG VẮNG'!$C$2:$C$1000&lt;&gt;"")*(YEAR('LOG VẮNG'!$C$2:$C$1000)=2026)*(MONTH('LOG VẮNG'!$C$2:$C$1000)=10)*ISNUMBER(SEARCH($A18,'LOG VẮNG'!$D$2:$D$1000))))</f>
        <v/>
      </c>
      <c r="M18" s="40">
        <f>IF($B18="","",SUMPRODUCT(('LOG VẮNG'!$C$2:$C$1000&lt;&gt;"")*(YEAR('LOG VẮNG'!$C$2:$C$1000)=2026)*(MONTH('LOG VẮNG'!$C$2:$C$1000)=11)*ISNUMBER(SEARCH($A18,'LOG VẮNG'!$D$2:$D$1000))))</f>
        <v/>
      </c>
      <c r="N18" s="40">
        <f>IF($B18="","",SUMPRODUCT(('LOG VẮNG'!$C$2:$C$1000&lt;&gt;"")*(YEAR('LOG VẮNG'!$C$2:$C$1000)=2026)*(MONTH('LOG VẮNG'!$C$2:$C$1000)=12)*ISNUMBER(SEARCH($A18,'LOG VẮNG'!$D$2:$D$1000))))</f>
        <v/>
      </c>
      <c r="O18" s="40">
        <f>IF($B18="","",SUM(C18:N18))</f>
        <v/>
      </c>
    </row>
    <row r="19">
      <c r="A19" s="40" t="inlineStr">
        <is>
          <t>ORI017</t>
        </is>
      </c>
      <c r="B19" s="46">
        <f>IFERROR(INDEX('HỌC VIÊN'!$B$4:$B$203,MATCH($A19,'HỌC VIÊN'!$A$4:$A$203,0)),"")</f>
        <v/>
      </c>
      <c r="C19" s="40">
        <f>IF($B19="","",SUMPRODUCT(('LOG VẮNG'!$C$2:$C$1000&lt;&gt;"")*(YEAR('LOG VẮNG'!$C$2:$C$1000)=2026)*(MONTH('LOG VẮNG'!$C$2:$C$1000)=1)*ISNUMBER(SEARCH($A19,'LOG VẮNG'!$D$2:$D$1000))))</f>
        <v/>
      </c>
      <c r="D19" s="40">
        <f>IF($B19="","",SUMPRODUCT(('LOG VẮNG'!$C$2:$C$1000&lt;&gt;"")*(YEAR('LOG VẮNG'!$C$2:$C$1000)=2026)*(MONTH('LOG VẮNG'!$C$2:$C$1000)=2)*ISNUMBER(SEARCH($A19,'LOG VẮNG'!$D$2:$D$1000))))</f>
        <v/>
      </c>
      <c r="E19" s="40">
        <f>IF($B19="","",SUMPRODUCT(('LOG VẮNG'!$C$2:$C$1000&lt;&gt;"")*(YEAR('LOG VẮNG'!$C$2:$C$1000)=2026)*(MONTH('LOG VẮNG'!$C$2:$C$1000)=3)*ISNUMBER(SEARCH($A19,'LOG VẮNG'!$D$2:$D$1000))))</f>
        <v/>
      </c>
      <c r="F19" s="40">
        <f>IF($B19="","",SUMPRODUCT(('LOG VẮNG'!$C$2:$C$1000&lt;&gt;"")*(YEAR('LOG VẮNG'!$C$2:$C$1000)=2026)*(MONTH('LOG VẮNG'!$C$2:$C$1000)=4)*ISNUMBER(SEARCH($A19,'LOG VẮNG'!$D$2:$D$1000))))</f>
        <v/>
      </c>
      <c r="G19" s="40">
        <f>IF($B19="","",SUMPRODUCT(('LOG VẮNG'!$C$2:$C$1000&lt;&gt;"")*(YEAR('LOG VẮNG'!$C$2:$C$1000)=2026)*(MONTH('LOG VẮNG'!$C$2:$C$1000)=5)*ISNUMBER(SEARCH($A19,'LOG VẮNG'!$D$2:$D$1000))))</f>
        <v/>
      </c>
      <c r="H19" s="40">
        <f>IF($B19="","",SUMPRODUCT(('LOG VẮNG'!$C$2:$C$1000&lt;&gt;"")*(YEAR('LOG VẮNG'!$C$2:$C$1000)=2026)*(MONTH('LOG VẮNG'!$C$2:$C$1000)=6)*ISNUMBER(SEARCH($A19,'LOG VẮNG'!$D$2:$D$1000))))</f>
        <v/>
      </c>
      <c r="I19" s="40">
        <f>IF($B19="","",SUMPRODUCT(('LOG VẮNG'!$C$2:$C$1000&lt;&gt;"")*(YEAR('LOG VẮNG'!$C$2:$C$1000)=2026)*(MONTH('LOG VẮNG'!$C$2:$C$1000)=7)*ISNUMBER(SEARCH($A19,'LOG VẮNG'!$D$2:$D$1000))))</f>
        <v/>
      </c>
      <c r="J19" s="40">
        <f>IF($B19="","",SUMPRODUCT(('LOG VẮNG'!$C$2:$C$1000&lt;&gt;"")*(YEAR('LOG VẮNG'!$C$2:$C$1000)=2026)*(MONTH('LOG VẮNG'!$C$2:$C$1000)=8)*ISNUMBER(SEARCH($A19,'LOG VẮNG'!$D$2:$D$1000))))</f>
        <v/>
      </c>
      <c r="K19" s="40">
        <f>IF($B19="","",SUMPRODUCT(('LOG VẮNG'!$C$2:$C$1000&lt;&gt;"")*(YEAR('LOG VẮNG'!$C$2:$C$1000)=2026)*(MONTH('LOG VẮNG'!$C$2:$C$1000)=9)*ISNUMBER(SEARCH($A19,'LOG VẮNG'!$D$2:$D$1000))))</f>
        <v/>
      </c>
      <c r="L19" s="40">
        <f>IF($B19="","",SUMPRODUCT(('LOG VẮNG'!$C$2:$C$1000&lt;&gt;"")*(YEAR('LOG VẮNG'!$C$2:$C$1000)=2026)*(MONTH('LOG VẮNG'!$C$2:$C$1000)=10)*ISNUMBER(SEARCH($A19,'LOG VẮNG'!$D$2:$D$1000))))</f>
        <v/>
      </c>
      <c r="M19" s="40">
        <f>IF($B19="","",SUMPRODUCT(('LOG VẮNG'!$C$2:$C$1000&lt;&gt;"")*(YEAR('LOG VẮNG'!$C$2:$C$1000)=2026)*(MONTH('LOG VẮNG'!$C$2:$C$1000)=11)*ISNUMBER(SEARCH($A19,'LOG VẮNG'!$D$2:$D$1000))))</f>
        <v/>
      </c>
      <c r="N19" s="40">
        <f>IF($B19="","",SUMPRODUCT(('LOG VẮNG'!$C$2:$C$1000&lt;&gt;"")*(YEAR('LOG VẮNG'!$C$2:$C$1000)=2026)*(MONTH('LOG VẮNG'!$C$2:$C$1000)=12)*ISNUMBER(SEARCH($A19,'LOG VẮNG'!$D$2:$D$1000))))</f>
        <v/>
      </c>
      <c r="O19" s="40">
        <f>IF($B19="","",SUM(C19:N19))</f>
        <v/>
      </c>
    </row>
    <row r="20">
      <c r="A20" s="40" t="inlineStr">
        <is>
          <t>ORI018</t>
        </is>
      </c>
      <c r="B20" s="46">
        <f>IFERROR(INDEX('HỌC VIÊN'!$B$4:$B$203,MATCH($A20,'HỌC VIÊN'!$A$4:$A$203,0)),"")</f>
        <v/>
      </c>
      <c r="C20" s="40">
        <f>IF($B20="","",SUMPRODUCT(('LOG VẮNG'!$C$2:$C$1000&lt;&gt;"")*(YEAR('LOG VẮNG'!$C$2:$C$1000)=2026)*(MONTH('LOG VẮNG'!$C$2:$C$1000)=1)*ISNUMBER(SEARCH($A20,'LOG VẮNG'!$D$2:$D$1000))))</f>
        <v/>
      </c>
      <c r="D20" s="40">
        <f>IF($B20="","",SUMPRODUCT(('LOG VẮNG'!$C$2:$C$1000&lt;&gt;"")*(YEAR('LOG VẮNG'!$C$2:$C$1000)=2026)*(MONTH('LOG VẮNG'!$C$2:$C$1000)=2)*ISNUMBER(SEARCH($A20,'LOG VẮNG'!$D$2:$D$1000))))</f>
        <v/>
      </c>
      <c r="E20" s="40">
        <f>IF($B20="","",SUMPRODUCT(('LOG VẮNG'!$C$2:$C$1000&lt;&gt;"")*(YEAR('LOG VẮNG'!$C$2:$C$1000)=2026)*(MONTH('LOG VẮNG'!$C$2:$C$1000)=3)*ISNUMBER(SEARCH($A20,'LOG VẮNG'!$D$2:$D$1000))))</f>
        <v/>
      </c>
      <c r="F20" s="40">
        <f>IF($B20="","",SUMPRODUCT(('LOG VẮNG'!$C$2:$C$1000&lt;&gt;"")*(YEAR('LOG VẮNG'!$C$2:$C$1000)=2026)*(MONTH('LOG VẮNG'!$C$2:$C$1000)=4)*ISNUMBER(SEARCH($A20,'LOG VẮNG'!$D$2:$D$1000))))</f>
        <v/>
      </c>
      <c r="G20" s="40">
        <f>IF($B20="","",SUMPRODUCT(('LOG VẮNG'!$C$2:$C$1000&lt;&gt;"")*(YEAR('LOG VẮNG'!$C$2:$C$1000)=2026)*(MONTH('LOG VẮNG'!$C$2:$C$1000)=5)*ISNUMBER(SEARCH($A20,'LOG VẮNG'!$D$2:$D$1000))))</f>
        <v/>
      </c>
      <c r="H20" s="40">
        <f>IF($B20="","",SUMPRODUCT(('LOG VẮNG'!$C$2:$C$1000&lt;&gt;"")*(YEAR('LOG VẮNG'!$C$2:$C$1000)=2026)*(MONTH('LOG VẮNG'!$C$2:$C$1000)=6)*ISNUMBER(SEARCH($A20,'LOG VẮNG'!$D$2:$D$1000))))</f>
        <v/>
      </c>
      <c r="I20" s="40">
        <f>IF($B20="","",SUMPRODUCT(('LOG VẮNG'!$C$2:$C$1000&lt;&gt;"")*(YEAR('LOG VẮNG'!$C$2:$C$1000)=2026)*(MONTH('LOG VẮNG'!$C$2:$C$1000)=7)*ISNUMBER(SEARCH($A20,'LOG VẮNG'!$D$2:$D$1000))))</f>
        <v/>
      </c>
      <c r="J20" s="40">
        <f>IF($B20="","",SUMPRODUCT(('LOG VẮNG'!$C$2:$C$1000&lt;&gt;"")*(YEAR('LOG VẮNG'!$C$2:$C$1000)=2026)*(MONTH('LOG VẮNG'!$C$2:$C$1000)=8)*ISNUMBER(SEARCH($A20,'LOG VẮNG'!$D$2:$D$1000))))</f>
        <v/>
      </c>
      <c r="K20" s="40">
        <f>IF($B20="","",SUMPRODUCT(('LOG VẮNG'!$C$2:$C$1000&lt;&gt;"")*(YEAR('LOG VẮNG'!$C$2:$C$1000)=2026)*(MONTH('LOG VẮNG'!$C$2:$C$1000)=9)*ISNUMBER(SEARCH($A20,'LOG VẮNG'!$D$2:$D$1000))))</f>
        <v/>
      </c>
      <c r="L20" s="40">
        <f>IF($B20="","",SUMPRODUCT(('LOG VẮNG'!$C$2:$C$1000&lt;&gt;"")*(YEAR('LOG VẮNG'!$C$2:$C$1000)=2026)*(MONTH('LOG VẮNG'!$C$2:$C$1000)=10)*ISNUMBER(SEARCH($A20,'LOG VẮNG'!$D$2:$D$1000))))</f>
        <v/>
      </c>
      <c r="M20" s="40">
        <f>IF($B20="","",SUMPRODUCT(('LOG VẮNG'!$C$2:$C$1000&lt;&gt;"")*(YEAR('LOG VẮNG'!$C$2:$C$1000)=2026)*(MONTH('LOG VẮNG'!$C$2:$C$1000)=11)*ISNUMBER(SEARCH($A20,'LOG VẮNG'!$D$2:$D$1000))))</f>
        <v/>
      </c>
      <c r="N20" s="40">
        <f>IF($B20="","",SUMPRODUCT(('LOG VẮNG'!$C$2:$C$1000&lt;&gt;"")*(YEAR('LOG VẮNG'!$C$2:$C$1000)=2026)*(MONTH('LOG VẮNG'!$C$2:$C$1000)=12)*ISNUMBER(SEARCH($A20,'LOG VẮNG'!$D$2:$D$1000))))</f>
        <v/>
      </c>
      <c r="O20" s="40">
        <f>IF($B20="","",SUM(C20:N20))</f>
        <v/>
      </c>
    </row>
    <row r="21">
      <c r="A21" s="40" t="inlineStr">
        <is>
          <t>ORI019</t>
        </is>
      </c>
      <c r="B21" s="46">
        <f>IFERROR(INDEX('HỌC VIÊN'!$B$4:$B$203,MATCH($A21,'HỌC VIÊN'!$A$4:$A$203,0)),"")</f>
        <v/>
      </c>
      <c r="C21" s="40">
        <f>IF($B21="","",SUMPRODUCT(('LOG VẮNG'!$C$2:$C$1000&lt;&gt;"")*(YEAR('LOG VẮNG'!$C$2:$C$1000)=2026)*(MONTH('LOG VẮNG'!$C$2:$C$1000)=1)*ISNUMBER(SEARCH($A21,'LOG VẮNG'!$D$2:$D$1000))))</f>
        <v/>
      </c>
      <c r="D21" s="40">
        <f>IF($B21="","",SUMPRODUCT(('LOG VẮNG'!$C$2:$C$1000&lt;&gt;"")*(YEAR('LOG VẮNG'!$C$2:$C$1000)=2026)*(MONTH('LOG VẮNG'!$C$2:$C$1000)=2)*ISNUMBER(SEARCH($A21,'LOG VẮNG'!$D$2:$D$1000))))</f>
        <v/>
      </c>
      <c r="E21" s="40">
        <f>IF($B21="","",SUMPRODUCT(('LOG VẮNG'!$C$2:$C$1000&lt;&gt;"")*(YEAR('LOG VẮNG'!$C$2:$C$1000)=2026)*(MONTH('LOG VẮNG'!$C$2:$C$1000)=3)*ISNUMBER(SEARCH($A21,'LOG VẮNG'!$D$2:$D$1000))))</f>
        <v/>
      </c>
      <c r="F21" s="40">
        <f>IF($B21="","",SUMPRODUCT(('LOG VẮNG'!$C$2:$C$1000&lt;&gt;"")*(YEAR('LOG VẮNG'!$C$2:$C$1000)=2026)*(MONTH('LOG VẮNG'!$C$2:$C$1000)=4)*ISNUMBER(SEARCH($A21,'LOG VẮNG'!$D$2:$D$1000))))</f>
        <v/>
      </c>
      <c r="G21" s="40">
        <f>IF($B21="","",SUMPRODUCT(('LOG VẮNG'!$C$2:$C$1000&lt;&gt;"")*(YEAR('LOG VẮNG'!$C$2:$C$1000)=2026)*(MONTH('LOG VẮNG'!$C$2:$C$1000)=5)*ISNUMBER(SEARCH($A21,'LOG VẮNG'!$D$2:$D$1000))))</f>
        <v/>
      </c>
      <c r="H21" s="40">
        <f>IF($B21="","",SUMPRODUCT(('LOG VẮNG'!$C$2:$C$1000&lt;&gt;"")*(YEAR('LOG VẮNG'!$C$2:$C$1000)=2026)*(MONTH('LOG VẮNG'!$C$2:$C$1000)=6)*ISNUMBER(SEARCH($A21,'LOG VẮNG'!$D$2:$D$1000))))</f>
        <v/>
      </c>
      <c r="I21" s="40">
        <f>IF($B21="","",SUMPRODUCT(('LOG VẮNG'!$C$2:$C$1000&lt;&gt;"")*(YEAR('LOG VẮNG'!$C$2:$C$1000)=2026)*(MONTH('LOG VẮNG'!$C$2:$C$1000)=7)*ISNUMBER(SEARCH($A21,'LOG VẮNG'!$D$2:$D$1000))))</f>
        <v/>
      </c>
      <c r="J21" s="40">
        <f>IF($B21="","",SUMPRODUCT(('LOG VẮNG'!$C$2:$C$1000&lt;&gt;"")*(YEAR('LOG VẮNG'!$C$2:$C$1000)=2026)*(MONTH('LOG VẮNG'!$C$2:$C$1000)=8)*ISNUMBER(SEARCH($A21,'LOG VẮNG'!$D$2:$D$1000))))</f>
        <v/>
      </c>
      <c r="K21" s="40">
        <f>IF($B21="","",SUMPRODUCT(('LOG VẮNG'!$C$2:$C$1000&lt;&gt;"")*(YEAR('LOG VẮNG'!$C$2:$C$1000)=2026)*(MONTH('LOG VẮNG'!$C$2:$C$1000)=9)*ISNUMBER(SEARCH($A21,'LOG VẮNG'!$D$2:$D$1000))))</f>
        <v/>
      </c>
      <c r="L21" s="40">
        <f>IF($B21="","",SUMPRODUCT(('LOG VẮNG'!$C$2:$C$1000&lt;&gt;"")*(YEAR('LOG VẮNG'!$C$2:$C$1000)=2026)*(MONTH('LOG VẮNG'!$C$2:$C$1000)=10)*ISNUMBER(SEARCH($A21,'LOG VẮNG'!$D$2:$D$1000))))</f>
        <v/>
      </c>
      <c r="M21" s="40">
        <f>IF($B21="","",SUMPRODUCT(('LOG VẮNG'!$C$2:$C$1000&lt;&gt;"")*(YEAR('LOG VẮNG'!$C$2:$C$1000)=2026)*(MONTH('LOG VẮNG'!$C$2:$C$1000)=11)*ISNUMBER(SEARCH($A21,'LOG VẮNG'!$D$2:$D$1000))))</f>
        <v/>
      </c>
      <c r="N21" s="40">
        <f>IF($B21="","",SUMPRODUCT(('LOG VẮNG'!$C$2:$C$1000&lt;&gt;"")*(YEAR('LOG VẮNG'!$C$2:$C$1000)=2026)*(MONTH('LOG VẮNG'!$C$2:$C$1000)=12)*ISNUMBER(SEARCH($A21,'LOG VẮNG'!$D$2:$D$1000))))</f>
        <v/>
      </c>
      <c r="O21" s="40">
        <f>IF($B21="","",SUM(C21:N21))</f>
        <v/>
      </c>
    </row>
    <row r="22">
      <c r="A22" s="40" t="inlineStr">
        <is>
          <t>ORI020</t>
        </is>
      </c>
      <c r="B22" s="46">
        <f>IFERROR(INDEX('HỌC VIÊN'!$B$4:$B$203,MATCH($A22,'HỌC VIÊN'!$A$4:$A$203,0)),"")</f>
        <v/>
      </c>
      <c r="C22" s="40">
        <f>IF($B22="","",SUMPRODUCT(('LOG VẮNG'!$C$2:$C$1000&lt;&gt;"")*(YEAR('LOG VẮNG'!$C$2:$C$1000)=2026)*(MONTH('LOG VẮNG'!$C$2:$C$1000)=1)*ISNUMBER(SEARCH($A22,'LOG VẮNG'!$D$2:$D$1000))))</f>
        <v/>
      </c>
      <c r="D22" s="40">
        <f>IF($B22="","",SUMPRODUCT(('LOG VẮNG'!$C$2:$C$1000&lt;&gt;"")*(YEAR('LOG VẮNG'!$C$2:$C$1000)=2026)*(MONTH('LOG VẮNG'!$C$2:$C$1000)=2)*ISNUMBER(SEARCH($A22,'LOG VẮNG'!$D$2:$D$1000))))</f>
        <v/>
      </c>
      <c r="E22" s="40">
        <f>IF($B22="","",SUMPRODUCT(('LOG VẮNG'!$C$2:$C$1000&lt;&gt;"")*(YEAR('LOG VẮNG'!$C$2:$C$1000)=2026)*(MONTH('LOG VẮNG'!$C$2:$C$1000)=3)*ISNUMBER(SEARCH($A22,'LOG VẮNG'!$D$2:$D$1000))))</f>
        <v/>
      </c>
      <c r="F22" s="40">
        <f>IF($B22="","",SUMPRODUCT(('LOG VẮNG'!$C$2:$C$1000&lt;&gt;"")*(YEAR('LOG VẮNG'!$C$2:$C$1000)=2026)*(MONTH('LOG VẮNG'!$C$2:$C$1000)=4)*ISNUMBER(SEARCH($A22,'LOG VẮNG'!$D$2:$D$1000))))</f>
        <v/>
      </c>
      <c r="G22" s="40">
        <f>IF($B22="","",SUMPRODUCT(('LOG VẮNG'!$C$2:$C$1000&lt;&gt;"")*(YEAR('LOG VẮNG'!$C$2:$C$1000)=2026)*(MONTH('LOG VẮNG'!$C$2:$C$1000)=5)*ISNUMBER(SEARCH($A22,'LOG VẮNG'!$D$2:$D$1000))))</f>
        <v/>
      </c>
      <c r="H22" s="40">
        <f>IF($B22="","",SUMPRODUCT(('LOG VẮNG'!$C$2:$C$1000&lt;&gt;"")*(YEAR('LOG VẮNG'!$C$2:$C$1000)=2026)*(MONTH('LOG VẮNG'!$C$2:$C$1000)=6)*ISNUMBER(SEARCH($A22,'LOG VẮNG'!$D$2:$D$1000))))</f>
        <v/>
      </c>
      <c r="I22" s="40">
        <f>IF($B22="","",SUMPRODUCT(('LOG VẮNG'!$C$2:$C$1000&lt;&gt;"")*(YEAR('LOG VẮNG'!$C$2:$C$1000)=2026)*(MONTH('LOG VẮNG'!$C$2:$C$1000)=7)*ISNUMBER(SEARCH($A22,'LOG VẮNG'!$D$2:$D$1000))))</f>
        <v/>
      </c>
      <c r="J22" s="40">
        <f>IF($B22="","",SUMPRODUCT(('LOG VẮNG'!$C$2:$C$1000&lt;&gt;"")*(YEAR('LOG VẮNG'!$C$2:$C$1000)=2026)*(MONTH('LOG VẮNG'!$C$2:$C$1000)=8)*ISNUMBER(SEARCH($A22,'LOG VẮNG'!$D$2:$D$1000))))</f>
        <v/>
      </c>
      <c r="K22" s="40">
        <f>IF($B22="","",SUMPRODUCT(('LOG VẮNG'!$C$2:$C$1000&lt;&gt;"")*(YEAR('LOG VẮNG'!$C$2:$C$1000)=2026)*(MONTH('LOG VẮNG'!$C$2:$C$1000)=9)*ISNUMBER(SEARCH($A22,'LOG VẮNG'!$D$2:$D$1000))))</f>
        <v/>
      </c>
      <c r="L22" s="40">
        <f>IF($B22="","",SUMPRODUCT(('LOG VẮNG'!$C$2:$C$1000&lt;&gt;"")*(YEAR('LOG VẮNG'!$C$2:$C$1000)=2026)*(MONTH('LOG VẮNG'!$C$2:$C$1000)=10)*ISNUMBER(SEARCH($A22,'LOG VẮNG'!$D$2:$D$1000))))</f>
        <v/>
      </c>
      <c r="M22" s="40">
        <f>IF($B22="","",SUMPRODUCT(('LOG VẮNG'!$C$2:$C$1000&lt;&gt;"")*(YEAR('LOG VẮNG'!$C$2:$C$1000)=2026)*(MONTH('LOG VẮNG'!$C$2:$C$1000)=11)*ISNUMBER(SEARCH($A22,'LOG VẮNG'!$D$2:$D$1000))))</f>
        <v/>
      </c>
      <c r="N22" s="40">
        <f>IF($B22="","",SUMPRODUCT(('LOG VẮNG'!$C$2:$C$1000&lt;&gt;"")*(YEAR('LOG VẮNG'!$C$2:$C$1000)=2026)*(MONTH('LOG VẮNG'!$C$2:$C$1000)=12)*ISNUMBER(SEARCH($A22,'LOG VẮNG'!$D$2:$D$1000))))</f>
        <v/>
      </c>
      <c r="O22" s="40">
        <f>IF($B22="","",SUM(C22:N22))</f>
        <v/>
      </c>
    </row>
    <row r="23">
      <c r="A23" s="40" t="inlineStr">
        <is>
          <t>ORI021</t>
        </is>
      </c>
      <c r="B23" s="46">
        <f>IFERROR(INDEX('HỌC VIÊN'!$B$4:$B$203,MATCH($A23,'HỌC VIÊN'!$A$4:$A$203,0)),"")</f>
        <v/>
      </c>
      <c r="C23" s="40">
        <f>IF($B23="","",SUMPRODUCT(('LOG VẮNG'!$C$2:$C$1000&lt;&gt;"")*(YEAR('LOG VẮNG'!$C$2:$C$1000)=2026)*(MONTH('LOG VẮNG'!$C$2:$C$1000)=1)*ISNUMBER(SEARCH($A23,'LOG VẮNG'!$D$2:$D$1000))))</f>
        <v/>
      </c>
      <c r="D23" s="40">
        <f>IF($B23="","",SUMPRODUCT(('LOG VẮNG'!$C$2:$C$1000&lt;&gt;"")*(YEAR('LOG VẮNG'!$C$2:$C$1000)=2026)*(MONTH('LOG VẮNG'!$C$2:$C$1000)=2)*ISNUMBER(SEARCH($A23,'LOG VẮNG'!$D$2:$D$1000))))</f>
        <v/>
      </c>
      <c r="E23" s="40">
        <f>IF($B23="","",SUMPRODUCT(('LOG VẮNG'!$C$2:$C$1000&lt;&gt;"")*(YEAR('LOG VẮNG'!$C$2:$C$1000)=2026)*(MONTH('LOG VẮNG'!$C$2:$C$1000)=3)*ISNUMBER(SEARCH($A23,'LOG VẮNG'!$D$2:$D$1000))))</f>
        <v/>
      </c>
      <c r="F23" s="40">
        <f>IF($B23="","",SUMPRODUCT(('LOG VẮNG'!$C$2:$C$1000&lt;&gt;"")*(YEAR('LOG VẮNG'!$C$2:$C$1000)=2026)*(MONTH('LOG VẮNG'!$C$2:$C$1000)=4)*ISNUMBER(SEARCH($A23,'LOG VẮNG'!$D$2:$D$1000))))</f>
        <v/>
      </c>
      <c r="G23" s="40">
        <f>IF($B23="","",SUMPRODUCT(('LOG VẮNG'!$C$2:$C$1000&lt;&gt;"")*(YEAR('LOG VẮNG'!$C$2:$C$1000)=2026)*(MONTH('LOG VẮNG'!$C$2:$C$1000)=5)*ISNUMBER(SEARCH($A23,'LOG VẮNG'!$D$2:$D$1000))))</f>
        <v/>
      </c>
      <c r="H23" s="40">
        <f>IF($B23="","",SUMPRODUCT(('LOG VẮNG'!$C$2:$C$1000&lt;&gt;"")*(YEAR('LOG VẮNG'!$C$2:$C$1000)=2026)*(MONTH('LOG VẮNG'!$C$2:$C$1000)=6)*ISNUMBER(SEARCH($A23,'LOG VẮNG'!$D$2:$D$1000))))</f>
        <v/>
      </c>
      <c r="I23" s="40">
        <f>IF($B23="","",SUMPRODUCT(('LOG VẮNG'!$C$2:$C$1000&lt;&gt;"")*(YEAR('LOG VẮNG'!$C$2:$C$1000)=2026)*(MONTH('LOG VẮNG'!$C$2:$C$1000)=7)*ISNUMBER(SEARCH($A23,'LOG VẮNG'!$D$2:$D$1000))))</f>
        <v/>
      </c>
      <c r="J23" s="40">
        <f>IF($B23="","",SUMPRODUCT(('LOG VẮNG'!$C$2:$C$1000&lt;&gt;"")*(YEAR('LOG VẮNG'!$C$2:$C$1000)=2026)*(MONTH('LOG VẮNG'!$C$2:$C$1000)=8)*ISNUMBER(SEARCH($A23,'LOG VẮNG'!$D$2:$D$1000))))</f>
        <v/>
      </c>
      <c r="K23" s="40">
        <f>IF($B23="","",SUMPRODUCT(('LOG VẮNG'!$C$2:$C$1000&lt;&gt;"")*(YEAR('LOG VẮNG'!$C$2:$C$1000)=2026)*(MONTH('LOG VẮNG'!$C$2:$C$1000)=9)*ISNUMBER(SEARCH($A23,'LOG VẮNG'!$D$2:$D$1000))))</f>
        <v/>
      </c>
      <c r="L23" s="40">
        <f>IF($B23="","",SUMPRODUCT(('LOG VẮNG'!$C$2:$C$1000&lt;&gt;"")*(YEAR('LOG VẮNG'!$C$2:$C$1000)=2026)*(MONTH('LOG VẮNG'!$C$2:$C$1000)=10)*ISNUMBER(SEARCH($A23,'LOG VẮNG'!$D$2:$D$1000))))</f>
        <v/>
      </c>
      <c r="M23" s="40">
        <f>IF($B23="","",SUMPRODUCT(('LOG VẮNG'!$C$2:$C$1000&lt;&gt;"")*(YEAR('LOG VẮNG'!$C$2:$C$1000)=2026)*(MONTH('LOG VẮNG'!$C$2:$C$1000)=11)*ISNUMBER(SEARCH($A23,'LOG VẮNG'!$D$2:$D$1000))))</f>
        <v/>
      </c>
      <c r="N23" s="40">
        <f>IF($B23="","",SUMPRODUCT(('LOG VẮNG'!$C$2:$C$1000&lt;&gt;"")*(YEAR('LOG VẮNG'!$C$2:$C$1000)=2026)*(MONTH('LOG VẮNG'!$C$2:$C$1000)=12)*ISNUMBER(SEARCH($A23,'LOG VẮNG'!$D$2:$D$1000))))</f>
        <v/>
      </c>
      <c r="O23" s="40">
        <f>IF($B23="","",SUM(C23:N23))</f>
        <v/>
      </c>
    </row>
    <row r="24">
      <c r="A24" s="40" t="inlineStr">
        <is>
          <t>ORI022</t>
        </is>
      </c>
      <c r="B24" s="46">
        <f>IFERROR(INDEX('HỌC VIÊN'!$B$4:$B$203,MATCH($A24,'HỌC VIÊN'!$A$4:$A$203,0)),"")</f>
        <v/>
      </c>
      <c r="C24" s="40">
        <f>IF($B24="","",SUMPRODUCT(('LOG VẮNG'!$C$2:$C$1000&lt;&gt;"")*(YEAR('LOG VẮNG'!$C$2:$C$1000)=2026)*(MONTH('LOG VẮNG'!$C$2:$C$1000)=1)*ISNUMBER(SEARCH($A24,'LOG VẮNG'!$D$2:$D$1000))))</f>
        <v/>
      </c>
      <c r="D24" s="40">
        <f>IF($B24="","",SUMPRODUCT(('LOG VẮNG'!$C$2:$C$1000&lt;&gt;"")*(YEAR('LOG VẮNG'!$C$2:$C$1000)=2026)*(MONTH('LOG VẮNG'!$C$2:$C$1000)=2)*ISNUMBER(SEARCH($A24,'LOG VẮNG'!$D$2:$D$1000))))</f>
        <v/>
      </c>
      <c r="E24" s="40">
        <f>IF($B24="","",SUMPRODUCT(('LOG VẮNG'!$C$2:$C$1000&lt;&gt;"")*(YEAR('LOG VẮNG'!$C$2:$C$1000)=2026)*(MONTH('LOG VẮNG'!$C$2:$C$1000)=3)*ISNUMBER(SEARCH($A24,'LOG VẮNG'!$D$2:$D$1000))))</f>
        <v/>
      </c>
      <c r="F24" s="40">
        <f>IF($B24="","",SUMPRODUCT(('LOG VẮNG'!$C$2:$C$1000&lt;&gt;"")*(YEAR('LOG VẮNG'!$C$2:$C$1000)=2026)*(MONTH('LOG VẮNG'!$C$2:$C$1000)=4)*ISNUMBER(SEARCH($A24,'LOG VẮNG'!$D$2:$D$1000))))</f>
        <v/>
      </c>
      <c r="G24" s="40">
        <f>IF($B24="","",SUMPRODUCT(('LOG VẮNG'!$C$2:$C$1000&lt;&gt;"")*(YEAR('LOG VẮNG'!$C$2:$C$1000)=2026)*(MONTH('LOG VẮNG'!$C$2:$C$1000)=5)*ISNUMBER(SEARCH($A24,'LOG VẮNG'!$D$2:$D$1000))))</f>
        <v/>
      </c>
      <c r="H24" s="40">
        <f>IF($B24="","",SUMPRODUCT(('LOG VẮNG'!$C$2:$C$1000&lt;&gt;"")*(YEAR('LOG VẮNG'!$C$2:$C$1000)=2026)*(MONTH('LOG VẮNG'!$C$2:$C$1000)=6)*ISNUMBER(SEARCH($A24,'LOG VẮNG'!$D$2:$D$1000))))</f>
        <v/>
      </c>
      <c r="I24" s="40">
        <f>IF($B24="","",SUMPRODUCT(('LOG VẮNG'!$C$2:$C$1000&lt;&gt;"")*(YEAR('LOG VẮNG'!$C$2:$C$1000)=2026)*(MONTH('LOG VẮNG'!$C$2:$C$1000)=7)*ISNUMBER(SEARCH($A24,'LOG VẮNG'!$D$2:$D$1000))))</f>
        <v/>
      </c>
      <c r="J24" s="40">
        <f>IF($B24="","",SUMPRODUCT(('LOG VẮNG'!$C$2:$C$1000&lt;&gt;"")*(YEAR('LOG VẮNG'!$C$2:$C$1000)=2026)*(MONTH('LOG VẮNG'!$C$2:$C$1000)=8)*ISNUMBER(SEARCH($A24,'LOG VẮNG'!$D$2:$D$1000))))</f>
        <v/>
      </c>
      <c r="K24" s="40">
        <f>IF($B24="","",SUMPRODUCT(('LOG VẮNG'!$C$2:$C$1000&lt;&gt;"")*(YEAR('LOG VẮNG'!$C$2:$C$1000)=2026)*(MONTH('LOG VẮNG'!$C$2:$C$1000)=9)*ISNUMBER(SEARCH($A24,'LOG VẮNG'!$D$2:$D$1000))))</f>
        <v/>
      </c>
      <c r="L24" s="40">
        <f>IF($B24="","",SUMPRODUCT(('LOG VẮNG'!$C$2:$C$1000&lt;&gt;"")*(YEAR('LOG VẮNG'!$C$2:$C$1000)=2026)*(MONTH('LOG VẮNG'!$C$2:$C$1000)=10)*ISNUMBER(SEARCH($A24,'LOG VẮNG'!$D$2:$D$1000))))</f>
        <v/>
      </c>
      <c r="M24" s="40">
        <f>IF($B24="","",SUMPRODUCT(('LOG VẮNG'!$C$2:$C$1000&lt;&gt;"")*(YEAR('LOG VẮNG'!$C$2:$C$1000)=2026)*(MONTH('LOG VẮNG'!$C$2:$C$1000)=11)*ISNUMBER(SEARCH($A24,'LOG VẮNG'!$D$2:$D$1000))))</f>
        <v/>
      </c>
      <c r="N24" s="40">
        <f>IF($B24="","",SUMPRODUCT(('LOG VẮNG'!$C$2:$C$1000&lt;&gt;"")*(YEAR('LOG VẮNG'!$C$2:$C$1000)=2026)*(MONTH('LOG VẮNG'!$C$2:$C$1000)=12)*ISNUMBER(SEARCH($A24,'LOG VẮNG'!$D$2:$D$1000))))</f>
        <v/>
      </c>
      <c r="O24" s="40">
        <f>IF($B24="","",SUM(C24:N24))</f>
        <v/>
      </c>
    </row>
    <row r="25">
      <c r="A25" s="40" t="inlineStr">
        <is>
          <t>ORI023</t>
        </is>
      </c>
      <c r="B25" s="46">
        <f>IFERROR(INDEX('HỌC VIÊN'!$B$4:$B$203,MATCH($A25,'HỌC VIÊN'!$A$4:$A$203,0)),"")</f>
        <v/>
      </c>
      <c r="C25" s="40">
        <f>IF($B25="","",SUMPRODUCT(('LOG VẮNG'!$C$2:$C$1000&lt;&gt;"")*(YEAR('LOG VẮNG'!$C$2:$C$1000)=2026)*(MONTH('LOG VẮNG'!$C$2:$C$1000)=1)*ISNUMBER(SEARCH($A25,'LOG VẮNG'!$D$2:$D$1000))))</f>
        <v/>
      </c>
      <c r="D25" s="40">
        <f>IF($B25="","",SUMPRODUCT(('LOG VẮNG'!$C$2:$C$1000&lt;&gt;"")*(YEAR('LOG VẮNG'!$C$2:$C$1000)=2026)*(MONTH('LOG VẮNG'!$C$2:$C$1000)=2)*ISNUMBER(SEARCH($A25,'LOG VẮNG'!$D$2:$D$1000))))</f>
        <v/>
      </c>
      <c r="E25" s="40">
        <f>IF($B25="","",SUMPRODUCT(('LOG VẮNG'!$C$2:$C$1000&lt;&gt;"")*(YEAR('LOG VẮNG'!$C$2:$C$1000)=2026)*(MONTH('LOG VẮNG'!$C$2:$C$1000)=3)*ISNUMBER(SEARCH($A25,'LOG VẮNG'!$D$2:$D$1000))))</f>
        <v/>
      </c>
      <c r="F25" s="40">
        <f>IF($B25="","",SUMPRODUCT(('LOG VẮNG'!$C$2:$C$1000&lt;&gt;"")*(YEAR('LOG VẮNG'!$C$2:$C$1000)=2026)*(MONTH('LOG VẮNG'!$C$2:$C$1000)=4)*ISNUMBER(SEARCH($A25,'LOG VẮNG'!$D$2:$D$1000))))</f>
        <v/>
      </c>
      <c r="G25" s="40">
        <f>IF($B25="","",SUMPRODUCT(('LOG VẮNG'!$C$2:$C$1000&lt;&gt;"")*(YEAR('LOG VẮNG'!$C$2:$C$1000)=2026)*(MONTH('LOG VẮNG'!$C$2:$C$1000)=5)*ISNUMBER(SEARCH($A25,'LOG VẮNG'!$D$2:$D$1000))))</f>
        <v/>
      </c>
      <c r="H25" s="40">
        <f>IF($B25="","",SUMPRODUCT(('LOG VẮNG'!$C$2:$C$1000&lt;&gt;"")*(YEAR('LOG VẮNG'!$C$2:$C$1000)=2026)*(MONTH('LOG VẮNG'!$C$2:$C$1000)=6)*ISNUMBER(SEARCH($A25,'LOG VẮNG'!$D$2:$D$1000))))</f>
        <v/>
      </c>
      <c r="I25" s="40">
        <f>IF($B25="","",SUMPRODUCT(('LOG VẮNG'!$C$2:$C$1000&lt;&gt;"")*(YEAR('LOG VẮNG'!$C$2:$C$1000)=2026)*(MONTH('LOG VẮNG'!$C$2:$C$1000)=7)*ISNUMBER(SEARCH($A25,'LOG VẮNG'!$D$2:$D$1000))))</f>
        <v/>
      </c>
      <c r="J25" s="40">
        <f>IF($B25="","",SUMPRODUCT(('LOG VẮNG'!$C$2:$C$1000&lt;&gt;"")*(YEAR('LOG VẮNG'!$C$2:$C$1000)=2026)*(MONTH('LOG VẮNG'!$C$2:$C$1000)=8)*ISNUMBER(SEARCH($A25,'LOG VẮNG'!$D$2:$D$1000))))</f>
        <v/>
      </c>
      <c r="K25" s="40">
        <f>IF($B25="","",SUMPRODUCT(('LOG VẮNG'!$C$2:$C$1000&lt;&gt;"")*(YEAR('LOG VẮNG'!$C$2:$C$1000)=2026)*(MONTH('LOG VẮNG'!$C$2:$C$1000)=9)*ISNUMBER(SEARCH($A25,'LOG VẮNG'!$D$2:$D$1000))))</f>
        <v/>
      </c>
      <c r="L25" s="40">
        <f>IF($B25="","",SUMPRODUCT(('LOG VẮNG'!$C$2:$C$1000&lt;&gt;"")*(YEAR('LOG VẮNG'!$C$2:$C$1000)=2026)*(MONTH('LOG VẮNG'!$C$2:$C$1000)=10)*ISNUMBER(SEARCH($A25,'LOG VẮNG'!$D$2:$D$1000))))</f>
        <v/>
      </c>
      <c r="M25" s="40">
        <f>IF($B25="","",SUMPRODUCT(('LOG VẮNG'!$C$2:$C$1000&lt;&gt;"")*(YEAR('LOG VẮNG'!$C$2:$C$1000)=2026)*(MONTH('LOG VẮNG'!$C$2:$C$1000)=11)*ISNUMBER(SEARCH($A25,'LOG VẮNG'!$D$2:$D$1000))))</f>
        <v/>
      </c>
      <c r="N25" s="40">
        <f>IF($B25="","",SUMPRODUCT(('LOG VẮNG'!$C$2:$C$1000&lt;&gt;"")*(YEAR('LOG VẮNG'!$C$2:$C$1000)=2026)*(MONTH('LOG VẮNG'!$C$2:$C$1000)=12)*ISNUMBER(SEARCH($A25,'LOG VẮNG'!$D$2:$D$1000))))</f>
        <v/>
      </c>
      <c r="O25" s="40">
        <f>IF($B25="","",SUM(C25:N25))</f>
        <v/>
      </c>
    </row>
    <row r="26">
      <c r="A26" s="40" t="inlineStr">
        <is>
          <t>ORI024</t>
        </is>
      </c>
      <c r="B26" s="46">
        <f>IFERROR(INDEX('HỌC VIÊN'!$B$4:$B$203,MATCH($A26,'HỌC VIÊN'!$A$4:$A$203,0)),"")</f>
        <v/>
      </c>
      <c r="C26" s="40">
        <f>IF($B26="","",SUMPRODUCT(('LOG VẮNG'!$C$2:$C$1000&lt;&gt;"")*(YEAR('LOG VẮNG'!$C$2:$C$1000)=2026)*(MONTH('LOG VẮNG'!$C$2:$C$1000)=1)*ISNUMBER(SEARCH($A26,'LOG VẮNG'!$D$2:$D$1000))))</f>
        <v/>
      </c>
      <c r="D26" s="40">
        <f>IF($B26="","",SUMPRODUCT(('LOG VẮNG'!$C$2:$C$1000&lt;&gt;"")*(YEAR('LOG VẮNG'!$C$2:$C$1000)=2026)*(MONTH('LOG VẮNG'!$C$2:$C$1000)=2)*ISNUMBER(SEARCH($A26,'LOG VẮNG'!$D$2:$D$1000))))</f>
        <v/>
      </c>
      <c r="E26" s="40">
        <f>IF($B26="","",SUMPRODUCT(('LOG VẮNG'!$C$2:$C$1000&lt;&gt;"")*(YEAR('LOG VẮNG'!$C$2:$C$1000)=2026)*(MONTH('LOG VẮNG'!$C$2:$C$1000)=3)*ISNUMBER(SEARCH($A26,'LOG VẮNG'!$D$2:$D$1000))))</f>
        <v/>
      </c>
      <c r="F26" s="40">
        <f>IF($B26="","",SUMPRODUCT(('LOG VẮNG'!$C$2:$C$1000&lt;&gt;"")*(YEAR('LOG VẮNG'!$C$2:$C$1000)=2026)*(MONTH('LOG VẮNG'!$C$2:$C$1000)=4)*ISNUMBER(SEARCH($A26,'LOG VẮNG'!$D$2:$D$1000))))</f>
        <v/>
      </c>
      <c r="G26" s="40">
        <f>IF($B26="","",SUMPRODUCT(('LOG VẮNG'!$C$2:$C$1000&lt;&gt;"")*(YEAR('LOG VẮNG'!$C$2:$C$1000)=2026)*(MONTH('LOG VẮNG'!$C$2:$C$1000)=5)*ISNUMBER(SEARCH($A26,'LOG VẮNG'!$D$2:$D$1000))))</f>
        <v/>
      </c>
      <c r="H26" s="40">
        <f>IF($B26="","",SUMPRODUCT(('LOG VẮNG'!$C$2:$C$1000&lt;&gt;"")*(YEAR('LOG VẮNG'!$C$2:$C$1000)=2026)*(MONTH('LOG VẮNG'!$C$2:$C$1000)=6)*ISNUMBER(SEARCH($A26,'LOG VẮNG'!$D$2:$D$1000))))</f>
        <v/>
      </c>
      <c r="I26" s="40">
        <f>IF($B26="","",SUMPRODUCT(('LOG VẮNG'!$C$2:$C$1000&lt;&gt;"")*(YEAR('LOG VẮNG'!$C$2:$C$1000)=2026)*(MONTH('LOG VẮNG'!$C$2:$C$1000)=7)*ISNUMBER(SEARCH($A26,'LOG VẮNG'!$D$2:$D$1000))))</f>
        <v/>
      </c>
      <c r="J26" s="40">
        <f>IF($B26="","",SUMPRODUCT(('LOG VẮNG'!$C$2:$C$1000&lt;&gt;"")*(YEAR('LOG VẮNG'!$C$2:$C$1000)=2026)*(MONTH('LOG VẮNG'!$C$2:$C$1000)=8)*ISNUMBER(SEARCH($A26,'LOG VẮNG'!$D$2:$D$1000))))</f>
        <v/>
      </c>
      <c r="K26" s="40">
        <f>IF($B26="","",SUMPRODUCT(('LOG VẮNG'!$C$2:$C$1000&lt;&gt;"")*(YEAR('LOG VẮNG'!$C$2:$C$1000)=2026)*(MONTH('LOG VẮNG'!$C$2:$C$1000)=9)*ISNUMBER(SEARCH($A26,'LOG VẮNG'!$D$2:$D$1000))))</f>
        <v/>
      </c>
      <c r="L26" s="40">
        <f>IF($B26="","",SUMPRODUCT(('LOG VẮNG'!$C$2:$C$1000&lt;&gt;"")*(YEAR('LOG VẮNG'!$C$2:$C$1000)=2026)*(MONTH('LOG VẮNG'!$C$2:$C$1000)=10)*ISNUMBER(SEARCH($A26,'LOG VẮNG'!$D$2:$D$1000))))</f>
        <v/>
      </c>
      <c r="M26" s="40">
        <f>IF($B26="","",SUMPRODUCT(('LOG VẮNG'!$C$2:$C$1000&lt;&gt;"")*(YEAR('LOG VẮNG'!$C$2:$C$1000)=2026)*(MONTH('LOG VẮNG'!$C$2:$C$1000)=11)*ISNUMBER(SEARCH($A26,'LOG VẮNG'!$D$2:$D$1000))))</f>
        <v/>
      </c>
      <c r="N26" s="40">
        <f>IF($B26="","",SUMPRODUCT(('LOG VẮNG'!$C$2:$C$1000&lt;&gt;"")*(YEAR('LOG VẮNG'!$C$2:$C$1000)=2026)*(MONTH('LOG VẮNG'!$C$2:$C$1000)=12)*ISNUMBER(SEARCH($A26,'LOG VẮNG'!$D$2:$D$1000))))</f>
        <v/>
      </c>
      <c r="O26" s="40">
        <f>IF($B26="","",SUM(C26:N26))</f>
        <v/>
      </c>
    </row>
    <row r="27">
      <c r="A27" s="40" t="inlineStr">
        <is>
          <t>ORI025</t>
        </is>
      </c>
      <c r="B27" s="46">
        <f>IFERROR(INDEX('HỌC VIÊN'!$B$4:$B$203,MATCH($A27,'HỌC VIÊN'!$A$4:$A$203,0)),"")</f>
        <v/>
      </c>
      <c r="C27" s="40">
        <f>IF($B27="","",SUMPRODUCT(('LOG VẮNG'!$C$2:$C$1000&lt;&gt;"")*(YEAR('LOG VẮNG'!$C$2:$C$1000)=2026)*(MONTH('LOG VẮNG'!$C$2:$C$1000)=1)*ISNUMBER(SEARCH($A27,'LOG VẮNG'!$D$2:$D$1000))))</f>
        <v/>
      </c>
      <c r="D27" s="40">
        <f>IF($B27="","",SUMPRODUCT(('LOG VẮNG'!$C$2:$C$1000&lt;&gt;"")*(YEAR('LOG VẮNG'!$C$2:$C$1000)=2026)*(MONTH('LOG VẮNG'!$C$2:$C$1000)=2)*ISNUMBER(SEARCH($A27,'LOG VẮNG'!$D$2:$D$1000))))</f>
        <v/>
      </c>
      <c r="E27" s="40">
        <f>IF($B27="","",SUMPRODUCT(('LOG VẮNG'!$C$2:$C$1000&lt;&gt;"")*(YEAR('LOG VẮNG'!$C$2:$C$1000)=2026)*(MONTH('LOG VẮNG'!$C$2:$C$1000)=3)*ISNUMBER(SEARCH($A27,'LOG VẮNG'!$D$2:$D$1000))))</f>
        <v/>
      </c>
      <c r="F27" s="40">
        <f>IF($B27="","",SUMPRODUCT(('LOG VẮNG'!$C$2:$C$1000&lt;&gt;"")*(YEAR('LOG VẮNG'!$C$2:$C$1000)=2026)*(MONTH('LOG VẮNG'!$C$2:$C$1000)=4)*ISNUMBER(SEARCH($A27,'LOG VẮNG'!$D$2:$D$1000))))</f>
        <v/>
      </c>
      <c r="G27" s="40">
        <f>IF($B27="","",SUMPRODUCT(('LOG VẮNG'!$C$2:$C$1000&lt;&gt;"")*(YEAR('LOG VẮNG'!$C$2:$C$1000)=2026)*(MONTH('LOG VẮNG'!$C$2:$C$1000)=5)*ISNUMBER(SEARCH($A27,'LOG VẮNG'!$D$2:$D$1000))))</f>
        <v/>
      </c>
      <c r="H27" s="40">
        <f>IF($B27="","",SUMPRODUCT(('LOG VẮNG'!$C$2:$C$1000&lt;&gt;"")*(YEAR('LOG VẮNG'!$C$2:$C$1000)=2026)*(MONTH('LOG VẮNG'!$C$2:$C$1000)=6)*ISNUMBER(SEARCH($A27,'LOG VẮNG'!$D$2:$D$1000))))</f>
        <v/>
      </c>
      <c r="I27" s="40">
        <f>IF($B27="","",SUMPRODUCT(('LOG VẮNG'!$C$2:$C$1000&lt;&gt;"")*(YEAR('LOG VẮNG'!$C$2:$C$1000)=2026)*(MONTH('LOG VẮNG'!$C$2:$C$1000)=7)*ISNUMBER(SEARCH($A27,'LOG VẮNG'!$D$2:$D$1000))))</f>
        <v/>
      </c>
      <c r="J27" s="40">
        <f>IF($B27="","",SUMPRODUCT(('LOG VẮNG'!$C$2:$C$1000&lt;&gt;"")*(YEAR('LOG VẮNG'!$C$2:$C$1000)=2026)*(MONTH('LOG VẮNG'!$C$2:$C$1000)=8)*ISNUMBER(SEARCH($A27,'LOG VẮNG'!$D$2:$D$1000))))</f>
        <v/>
      </c>
      <c r="K27" s="40">
        <f>IF($B27="","",SUMPRODUCT(('LOG VẮNG'!$C$2:$C$1000&lt;&gt;"")*(YEAR('LOG VẮNG'!$C$2:$C$1000)=2026)*(MONTH('LOG VẮNG'!$C$2:$C$1000)=9)*ISNUMBER(SEARCH($A27,'LOG VẮNG'!$D$2:$D$1000))))</f>
        <v/>
      </c>
      <c r="L27" s="40">
        <f>IF($B27="","",SUMPRODUCT(('LOG VẮNG'!$C$2:$C$1000&lt;&gt;"")*(YEAR('LOG VẮNG'!$C$2:$C$1000)=2026)*(MONTH('LOG VẮNG'!$C$2:$C$1000)=10)*ISNUMBER(SEARCH($A27,'LOG VẮNG'!$D$2:$D$1000))))</f>
        <v/>
      </c>
      <c r="M27" s="40">
        <f>IF($B27="","",SUMPRODUCT(('LOG VẮNG'!$C$2:$C$1000&lt;&gt;"")*(YEAR('LOG VẮNG'!$C$2:$C$1000)=2026)*(MONTH('LOG VẮNG'!$C$2:$C$1000)=11)*ISNUMBER(SEARCH($A27,'LOG VẮNG'!$D$2:$D$1000))))</f>
        <v/>
      </c>
      <c r="N27" s="40">
        <f>IF($B27="","",SUMPRODUCT(('LOG VẮNG'!$C$2:$C$1000&lt;&gt;"")*(YEAR('LOG VẮNG'!$C$2:$C$1000)=2026)*(MONTH('LOG VẮNG'!$C$2:$C$1000)=12)*ISNUMBER(SEARCH($A27,'LOG VẮNG'!$D$2:$D$1000))))</f>
        <v/>
      </c>
      <c r="O27" s="40">
        <f>IF($B27="","",SUM(C27:N27))</f>
        <v/>
      </c>
    </row>
    <row r="28">
      <c r="A28" s="40" t="inlineStr">
        <is>
          <t>ORI026</t>
        </is>
      </c>
      <c r="B28" s="46">
        <f>IFERROR(INDEX('HỌC VIÊN'!$B$4:$B$203,MATCH($A28,'HỌC VIÊN'!$A$4:$A$203,0)),"")</f>
        <v/>
      </c>
      <c r="C28" s="40">
        <f>IF($B28="","",SUMPRODUCT(('LOG VẮNG'!$C$2:$C$1000&lt;&gt;"")*(YEAR('LOG VẮNG'!$C$2:$C$1000)=2026)*(MONTH('LOG VẮNG'!$C$2:$C$1000)=1)*ISNUMBER(SEARCH($A28,'LOG VẮNG'!$D$2:$D$1000))))</f>
        <v/>
      </c>
      <c r="D28" s="40">
        <f>IF($B28="","",SUMPRODUCT(('LOG VẮNG'!$C$2:$C$1000&lt;&gt;"")*(YEAR('LOG VẮNG'!$C$2:$C$1000)=2026)*(MONTH('LOG VẮNG'!$C$2:$C$1000)=2)*ISNUMBER(SEARCH($A28,'LOG VẮNG'!$D$2:$D$1000))))</f>
        <v/>
      </c>
      <c r="E28" s="40">
        <f>IF($B28="","",SUMPRODUCT(('LOG VẮNG'!$C$2:$C$1000&lt;&gt;"")*(YEAR('LOG VẮNG'!$C$2:$C$1000)=2026)*(MONTH('LOG VẮNG'!$C$2:$C$1000)=3)*ISNUMBER(SEARCH($A28,'LOG VẮNG'!$D$2:$D$1000))))</f>
        <v/>
      </c>
      <c r="F28" s="40">
        <f>IF($B28="","",SUMPRODUCT(('LOG VẮNG'!$C$2:$C$1000&lt;&gt;"")*(YEAR('LOG VẮNG'!$C$2:$C$1000)=2026)*(MONTH('LOG VẮNG'!$C$2:$C$1000)=4)*ISNUMBER(SEARCH($A28,'LOG VẮNG'!$D$2:$D$1000))))</f>
        <v/>
      </c>
      <c r="G28" s="40">
        <f>IF($B28="","",SUMPRODUCT(('LOG VẮNG'!$C$2:$C$1000&lt;&gt;"")*(YEAR('LOG VẮNG'!$C$2:$C$1000)=2026)*(MONTH('LOG VẮNG'!$C$2:$C$1000)=5)*ISNUMBER(SEARCH($A28,'LOG VẮNG'!$D$2:$D$1000))))</f>
        <v/>
      </c>
      <c r="H28" s="40">
        <f>IF($B28="","",SUMPRODUCT(('LOG VẮNG'!$C$2:$C$1000&lt;&gt;"")*(YEAR('LOG VẮNG'!$C$2:$C$1000)=2026)*(MONTH('LOG VẮNG'!$C$2:$C$1000)=6)*ISNUMBER(SEARCH($A28,'LOG VẮNG'!$D$2:$D$1000))))</f>
        <v/>
      </c>
      <c r="I28" s="40">
        <f>IF($B28="","",SUMPRODUCT(('LOG VẮNG'!$C$2:$C$1000&lt;&gt;"")*(YEAR('LOG VẮNG'!$C$2:$C$1000)=2026)*(MONTH('LOG VẮNG'!$C$2:$C$1000)=7)*ISNUMBER(SEARCH($A28,'LOG VẮNG'!$D$2:$D$1000))))</f>
        <v/>
      </c>
      <c r="J28" s="40">
        <f>IF($B28="","",SUMPRODUCT(('LOG VẮNG'!$C$2:$C$1000&lt;&gt;"")*(YEAR('LOG VẮNG'!$C$2:$C$1000)=2026)*(MONTH('LOG VẮNG'!$C$2:$C$1000)=8)*ISNUMBER(SEARCH($A28,'LOG VẮNG'!$D$2:$D$1000))))</f>
        <v/>
      </c>
      <c r="K28" s="40">
        <f>IF($B28="","",SUMPRODUCT(('LOG VẮNG'!$C$2:$C$1000&lt;&gt;"")*(YEAR('LOG VẮNG'!$C$2:$C$1000)=2026)*(MONTH('LOG VẮNG'!$C$2:$C$1000)=9)*ISNUMBER(SEARCH($A28,'LOG VẮNG'!$D$2:$D$1000))))</f>
        <v/>
      </c>
      <c r="L28" s="40">
        <f>IF($B28="","",SUMPRODUCT(('LOG VẮNG'!$C$2:$C$1000&lt;&gt;"")*(YEAR('LOG VẮNG'!$C$2:$C$1000)=2026)*(MONTH('LOG VẮNG'!$C$2:$C$1000)=10)*ISNUMBER(SEARCH($A28,'LOG VẮNG'!$D$2:$D$1000))))</f>
        <v/>
      </c>
      <c r="M28" s="40">
        <f>IF($B28="","",SUMPRODUCT(('LOG VẮNG'!$C$2:$C$1000&lt;&gt;"")*(YEAR('LOG VẮNG'!$C$2:$C$1000)=2026)*(MONTH('LOG VẮNG'!$C$2:$C$1000)=11)*ISNUMBER(SEARCH($A28,'LOG VẮNG'!$D$2:$D$1000))))</f>
        <v/>
      </c>
      <c r="N28" s="40">
        <f>IF($B28="","",SUMPRODUCT(('LOG VẮNG'!$C$2:$C$1000&lt;&gt;"")*(YEAR('LOG VẮNG'!$C$2:$C$1000)=2026)*(MONTH('LOG VẮNG'!$C$2:$C$1000)=12)*ISNUMBER(SEARCH($A28,'LOG VẮNG'!$D$2:$D$1000))))</f>
        <v/>
      </c>
      <c r="O28" s="40">
        <f>IF($B28="","",SUM(C28:N28))</f>
        <v/>
      </c>
    </row>
    <row r="29">
      <c r="A29" s="40" t="inlineStr">
        <is>
          <t>ORI027</t>
        </is>
      </c>
      <c r="B29" s="46">
        <f>IFERROR(INDEX('HỌC VIÊN'!$B$4:$B$203,MATCH($A29,'HỌC VIÊN'!$A$4:$A$203,0)),"")</f>
        <v/>
      </c>
      <c r="C29" s="40">
        <f>IF($B29="","",SUMPRODUCT(('LOG VẮNG'!$C$2:$C$1000&lt;&gt;"")*(YEAR('LOG VẮNG'!$C$2:$C$1000)=2026)*(MONTH('LOG VẮNG'!$C$2:$C$1000)=1)*ISNUMBER(SEARCH($A29,'LOG VẮNG'!$D$2:$D$1000))))</f>
        <v/>
      </c>
      <c r="D29" s="40">
        <f>IF($B29="","",SUMPRODUCT(('LOG VẮNG'!$C$2:$C$1000&lt;&gt;"")*(YEAR('LOG VẮNG'!$C$2:$C$1000)=2026)*(MONTH('LOG VẮNG'!$C$2:$C$1000)=2)*ISNUMBER(SEARCH($A29,'LOG VẮNG'!$D$2:$D$1000))))</f>
        <v/>
      </c>
      <c r="E29" s="40">
        <f>IF($B29="","",SUMPRODUCT(('LOG VẮNG'!$C$2:$C$1000&lt;&gt;"")*(YEAR('LOG VẮNG'!$C$2:$C$1000)=2026)*(MONTH('LOG VẮNG'!$C$2:$C$1000)=3)*ISNUMBER(SEARCH($A29,'LOG VẮNG'!$D$2:$D$1000))))</f>
        <v/>
      </c>
      <c r="F29" s="40">
        <f>IF($B29="","",SUMPRODUCT(('LOG VẮNG'!$C$2:$C$1000&lt;&gt;"")*(YEAR('LOG VẮNG'!$C$2:$C$1000)=2026)*(MONTH('LOG VẮNG'!$C$2:$C$1000)=4)*ISNUMBER(SEARCH($A29,'LOG VẮNG'!$D$2:$D$1000))))</f>
        <v/>
      </c>
      <c r="G29" s="40">
        <f>IF($B29="","",SUMPRODUCT(('LOG VẮNG'!$C$2:$C$1000&lt;&gt;"")*(YEAR('LOG VẮNG'!$C$2:$C$1000)=2026)*(MONTH('LOG VẮNG'!$C$2:$C$1000)=5)*ISNUMBER(SEARCH($A29,'LOG VẮNG'!$D$2:$D$1000))))</f>
        <v/>
      </c>
      <c r="H29" s="40">
        <f>IF($B29="","",SUMPRODUCT(('LOG VẮNG'!$C$2:$C$1000&lt;&gt;"")*(YEAR('LOG VẮNG'!$C$2:$C$1000)=2026)*(MONTH('LOG VẮNG'!$C$2:$C$1000)=6)*ISNUMBER(SEARCH($A29,'LOG VẮNG'!$D$2:$D$1000))))</f>
        <v/>
      </c>
      <c r="I29" s="40">
        <f>IF($B29="","",SUMPRODUCT(('LOG VẮNG'!$C$2:$C$1000&lt;&gt;"")*(YEAR('LOG VẮNG'!$C$2:$C$1000)=2026)*(MONTH('LOG VẮNG'!$C$2:$C$1000)=7)*ISNUMBER(SEARCH($A29,'LOG VẮNG'!$D$2:$D$1000))))</f>
        <v/>
      </c>
      <c r="J29" s="40">
        <f>IF($B29="","",SUMPRODUCT(('LOG VẮNG'!$C$2:$C$1000&lt;&gt;"")*(YEAR('LOG VẮNG'!$C$2:$C$1000)=2026)*(MONTH('LOG VẮNG'!$C$2:$C$1000)=8)*ISNUMBER(SEARCH($A29,'LOG VẮNG'!$D$2:$D$1000))))</f>
        <v/>
      </c>
      <c r="K29" s="40">
        <f>IF($B29="","",SUMPRODUCT(('LOG VẮNG'!$C$2:$C$1000&lt;&gt;"")*(YEAR('LOG VẮNG'!$C$2:$C$1000)=2026)*(MONTH('LOG VẮNG'!$C$2:$C$1000)=9)*ISNUMBER(SEARCH($A29,'LOG VẮNG'!$D$2:$D$1000))))</f>
        <v/>
      </c>
      <c r="L29" s="40">
        <f>IF($B29="","",SUMPRODUCT(('LOG VẮNG'!$C$2:$C$1000&lt;&gt;"")*(YEAR('LOG VẮNG'!$C$2:$C$1000)=2026)*(MONTH('LOG VẮNG'!$C$2:$C$1000)=10)*ISNUMBER(SEARCH($A29,'LOG VẮNG'!$D$2:$D$1000))))</f>
        <v/>
      </c>
      <c r="M29" s="40">
        <f>IF($B29="","",SUMPRODUCT(('LOG VẮNG'!$C$2:$C$1000&lt;&gt;"")*(YEAR('LOG VẮNG'!$C$2:$C$1000)=2026)*(MONTH('LOG VẮNG'!$C$2:$C$1000)=11)*ISNUMBER(SEARCH($A29,'LOG VẮNG'!$D$2:$D$1000))))</f>
        <v/>
      </c>
      <c r="N29" s="40">
        <f>IF($B29="","",SUMPRODUCT(('LOG VẮNG'!$C$2:$C$1000&lt;&gt;"")*(YEAR('LOG VẮNG'!$C$2:$C$1000)=2026)*(MONTH('LOG VẮNG'!$C$2:$C$1000)=12)*ISNUMBER(SEARCH($A29,'LOG VẮNG'!$D$2:$D$1000))))</f>
        <v/>
      </c>
      <c r="O29" s="40">
        <f>IF($B29="","",SUM(C29:N29))</f>
        <v/>
      </c>
    </row>
    <row r="30">
      <c r="A30" s="40" t="inlineStr">
        <is>
          <t>ORI028</t>
        </is>
      </c>
      <c r="B30" s="46">
        <f>IFERROR(INDEX('HỌC VIÊN'!$B$4:$B$203,MATCH($A30,'HỌC VIÊN'!$A$4:$A$203,0)),"")</f>
        <v/>
      </c>
      <c r="C30" s="40">
        <f>IF($B30="","",SUMPRODUCT(('LOG VẮNG'!$C$2:$C$1000&lt;&gt;"")*(YEAR('LOG VẮNG'!$C$2:$C$1000)=2026)*(MONTH('LOG VẮNG'!$C$2:$C$1000)=1)*ISNUMBER(SEARCH($A30,'LOG VẮNG'!$D$2:$D$1000))))</f>
        <v/>
      </c>
      <c r="D30" s="40">
        <f>IF($B30="","",SUMPRODUCT(('LOG VẮNG'!$C$2:$C$1000&lt;&gt;"")*(YEAR('LOG VẮNG'!$C$2:$C$1000)=2026)*(MONTH('LOG VẮNG'!$C$2:$C$1000)=2)*ISNUMBER(SEARCH($A30,'LOG VẮNG'!$D$2:$D$1000))))</f>
        <v/>
      </c>
      <c r="E30" s="40">
        <f>IF($B30="","",SUMPRODUCT(('LOG VẮNG'!$C$2:$C$1000&lt;&gt;"")*(YEAR('LOG VẮNG'!$C$2:$C$1000)=2026)*(MONTH('LOG VẮNG'!$C$2:$C$1000)=3)*ISNUMBER(SEARCH($A30,'LOG VẮNG'!$D$2:$D$1000))))</f>
        <v/>
      </c>
      <c r="F30" s="40">
        <f>IF($B30="","",SUMPRODUCT(('LOG VẮNG'!$C$2:$C$1000&lt;&gt;"")*(YEAR('LOG VẮNG'!$C$2:$C$1000)=2026)*(MONTH('LOG VẮNG'!$C$2:$C$1000)=4)*ISNUMBER(SEARCH($A30,'LOG VẮNG'!$D$2:$D$1000))))</f>
        <v/>
      </c>
      <c r="G30" s="40">
        <f>IF($B30="","",SUMPRODUCT(('LOG VẮNG'!$C$2:$C$1000&lt;&gt;"")*(YEAR('LOG VẮNG'!$C$2:$C$1000)=2026)*(MONTH('LOG VẮNG'!$C$2:$C$1000)=5)*ISNUMBER(SEARCH($A30,'LOG VẮNG'!$D$2:$D$1000))))</f>
        <v/>
      </c>
      <c r="H30" s="40">
        <f>IF($B30="","",SUMPRODUCT(('LOG VẮNG'!$C$2:$C$1000&lt;&gt;"")*(YEAR('LOG VẮNG'!$C$2:$C$1000)=2026)*(MONTH('LOG VẮNG'!$C$2:$C$1000)=6)*ISNUMBER(SEARCH($A30,'LOG VẮNG'!$D$2:$D$1000))))</f>
        <v/>
      </c>
      <c r="I30" s="40">
        <f>IF($B30="","",SUMPRODUCT(('LOG VẮNG'!$C$2:$C$1000&lt;&gt;"")*(YEAR('LOG VẮNG'!$C$2:$C$1000)=2026)*(MONTH('LOG VẮNG'!$C$2:$C$1000)=7)*ISNUMBER(SEARCH($A30,'LOG VẮNG'!$D$2:$D$1000))))</f>
        <v/>
      </c>
      <c r="J30" s="40">
        <f>IF($B30="","",SUMPRODUCT(('LOG VẮNG'!$C$2:$C$1000&lt;&gt;"")*(YEAR('LOG VẮNG'!$C$2:$C$1000)=2026)*(MONTH('LOG VẮNG'!$C$2:$C$1000)=8)*ISNUMBER(SEARCH($A30,'LOG VẮNG'!$D$2:$D$1000))))</f>
        <v/>
      </c>
      <c r="K30" s="40">
        <f>IF($B30="","",SUMPRODUCT(('LOG VẮNG'!$C$2:$C$1000&lt;&gt;"")*(YEAR('LOG VẮNG'!$C$2:$C$1000)=2026)*(MONTH('LOG VẮNG'!$C$2:$C$1000)=9)*ISNUMBER(SEARCH($A30,'LOG VẮNG'!$D$2:$D$1000))))</f>
        <v/>
      </c>
      <c r="L30" s="40">
        <f>IF($B30="","",SUMPRODUCT(('LOG VẮNG'!$C$2:$C$1000&lt;&gt;"")*(YEAR('LOG VẮNG'!$C$2:$C$1000)=2026)*(MONTH('LOG VẮNG'!$C$2:$C$1000)=10)*ISNUMBER(SEARCH($A30,'LOG VẮNG'!$D$2:$D$1000))))</f>
        <v/>
      </c>
      <c r="M30" s="40">
        <f>IF($B30="","",SUMPRODUCT(('LOG VẮNG'!$C$2:$C$1000&lt;&gt;"")*(YEAR('LOG VẮNG'!$C$2:$C$1000)=2026)*(MONTH('LOG VẮNG'!$C$2:$C$1000)=11)*ISNUMBER(SEARCH($A30,'LOG VẮNG'!$D$2:$D$1000))))</f>
        <v/>
      </c>
      <c r="N30" s="40">
        <f>IF($B30="","",SUMPRODUCT(('LOG VẮNG'!$C$2:$C$1000&lt;&gt;"")*(YEAR('LOG VẮNG'!$C$2:$C$1000)=2026)*(MONTH('LOG VẮNG'!$C$2:$C$1000)=12)*ISNUMBER(SEARCH($A30,'LOG VẮNG'!$D$2:$D$1000))))</f>
        <v/>
      </c>
      <c r="O30" s="40">
        <f>IF($B30="","",SUM(C30:N30))</f>
        <v/>
      </c>
    </row>
    <row r="31">
      <c r="A31" s="40" t="inlineStr">
        <is>
          <t>ORI029</t>
        </is>
      </c>
      <c r="B31" s="46">
        <f>IFERROR(INDEX('HỌC VIÊN'!$B$4:$B$203,MATCH($A31,'HỌC VIÊN'!$A$4:$A$203,0)),"")</f>
        <v/>
      </c>
      <c r="C31" s="40">
        <f>IF($B31="","",SUMPRODUCT(('LOG VẮNG'!$C$2:$C$1000&lt;&gt;"")*(YEAR('LOG VẮNG'!$C$2:$C$1000)=2026)*(MONTH('LOG VẮNG'!$C$2:$C$1000)=1)*ISNUMBER(SEARCH($A31,'LOG VẮNG'!$D$2:$D$1000))))</f>
        <v/>
      </c>
      <c r="D31" s="40">
        <f>IF($B31="","",SUMPRODUCT(('LOG VẮNG'!$C$2:$C$1000&lt;&gt;"")*(YEAR('LOG VẮNG'!$C$2:$C$1000)=2026)*(MONTH('LOG VẮNG'!$C$2:$C$1000)=2)*ISNUMBER(SEARCH($A31,'LOG VẮNG'!$D$2:$D$1000))))</f>
        <v/>
      </c>
      <c r="E31" s="40">
        <f>IF($B31="","",SUMPRODUCT(('LOG VẮNG'!$C$2:$C$1000&lt;&gt;"")*(YEAR('LOG VẮNG'!$C$2:$C$1000)=2026)*(MONTH('LOG VẮNG'!$C$2:$C$1000)=3)*ISNUMBER(SEARCH($A31,'LOG VẮNG'!$D$2:$D$1000))))</f>
        <v/>
      </c>
      <c r="F31" s="40">
        <f>IF($B31="","",SUMPRODUCT(('LOG VẮNG'!$C$2:$C$1000&lt;&gt;"")*(YEAR('LOG VẮNG'!$C$2:$C$1000)=2026)*(MONTH('LOG VẮNG'!$C$2:$C$1000)=4)*ISNUMBER(SEARCH($A31,'LOG VẮNG'!$D$2:$D$1000))))</f>
        <v/>
      </c>
      <c r="G31" s="40">
        <f>IF($B31="","",SUMPRODUCT(('LOG VẮNG'!$C$2:$C$1000&lt;&gt;"")*(YEAR('LOG VẮNG'!$C$2:$C$1000)=2026)*(MONTH('LOG VẮNG'!$C$2:$C$1000)=5)*ISNUMBER(SEARCH($A31,'LOG VẮNG'!$D$2:$D$1000))))</f>
        <v/>
      </c>
      <c r="H31" s="40">
        <f>IF($B31="","",SUMPRODUCT(('LOG VẮNG'!$C$2:$C$1000&lt;&gt;"")*(YEAR('LOG VẮNG'!$C$2:$C$1000)=2026)*(MONTH('LOG VẮNG'!$C$2:$C$1000)=6)*ISNUMBER(SEARCH($A31,'LOG VẮNG'!$D$2:$D$1000))))</f>
        <v/>
      </c>
      <c r="I31" s="40">
        <f>IF($B31="","",SUMPRODUCT(('LOG VẮNG'!$C$2:$C$1000&lt;&gt;"")*(YEAR('LOG VẮNG'!$C$2:$C$1000)=2026)*(MONTH('LOG VẮNG'!$C$2:$C$1000)=7)*ISNUMBER(SEARCH($A31,'LOG VẮNG'!$D$2:$D$1000))))</f>
        <v/>
      </c>
      <c r="J31" s="40">
        <f>IF($B31="","",SUMPRODUCT(('LOG VẮNG'!$C$2:$C$1000&lt;&gt;"")*(YEAR('LOG VẮNG'!$C$2:$C$1000)=2026)*(MONTH('LOG VẮNG'!$C$2:$C$1000)=8)*ISNUMBER(SEARCH($A31,'LOG VẮNG'!$D$2:$D$1000))))</f>
        <v/>
      </c>
      <c r="K31" s="40">
        <f>IF($B31="","",SUMPRODUCT(('LOG VẮNG'!$C$2:$C$1000&lt;&gt;"")*(YEAR('LOG VẮNG'!$C$2:$C$1000)=2026)*(MONTH('LOG VẮNG'!$C$2:$C$1000)=9)*ISNUMBER(SEARCH($A31,'LOG VẮNG'!$D$2:$D$1000))))</f>
        <v/>
      </c>
      <c r="L31" s="40">
        <f>IF($B31="","",SUMPRODUCT(('LOG VẮNG'!$C$2:$C$1000&lt;&gt;"")*(YEAR('LOG VẮNG'!$C$2:$C$1000)=2026)*(MONTH('LOG VẮNG'!$C$2:$C$1000)=10)*ISNUMBER(SEARCH($A31,'LOG VẮNG'!$D$2:$D$1000))))</f>
        <v/>
      </c>
      <c r="M31" s="40">
        <f>IF($B31="","",SUMPRODUCT(('LOG VẮNG'!$C$2:$C$1000&lt;&gt;"")*(YEAR('LOG VẮNG'!$C$2:$C$1000)=2026)*(MONTH('LOG VẮNG'!$C$2:$C$1000)=11)*ISNUMBER(SEARCH($A31,'LOG VẮNG'!$D$2:$D$1000))))</f>
        <v/>
      </c>
      <c r="N31" s="40">
        <f>IF($B31="","",SUMPRODUCT(('LOG VẮNG'!$C$2:$C$1000&lt;&gt;"")*(YEAR('LOG VẮNG'!$C$2:$C$1000)=2026)*(MONTH('LOG VẮNG'!$C$2:$C$1000)=12)*ISNUMBER(SEARCH($A31,'LOG VẮNG'!$D$2:$D$1000))))</f>
        <v/>
      </c>
      <c r="O31" s="40">
        <f>IF($B31="","",SUM(C31:N31))</f>
        <v/>
      </c>
    </row>
    <row r="32">
      <c r="A32" s="40" t="inlineStr">
        <is>
          <t>ORI030</t>
        </is>
      </c>
      <c r="B32" s="46">
        <f>IFERROR(INDEX('HỌC VIÊN'!$B$4:$B$203,MATCH($A32,'HỌC VIÊN'!$A$4:$A$203,0)),"")</f>
        <v/>
      </c>
      <c r="C32" s="40">
        <f>IF($B32="","",SUMPRODUCT(('LOG VẮNG'!$C$2:$C$1000&lt;&gt;"")*(YEAR('LOG VẮNG'!$C$2:$C$1000)=2026)*(MONTH('LOG VẮNG'!$C$2:$C$1000)=1)*ISNUMBER(SEARCH($A32,'LOG VẮNG'!$D$2:$D$1000))))</f>
        <v/>
      </c>
      <c r="D32" s="40">
        <f>IF($B32="","",SUMPRODUCT(('LOG VẮNG'!$C$2:$C$1000&lt;&gt;"")*(YEAR('LOG VẮNG'!$C$2:$C$1000)=2026)*(MONTH('LOG VẮNG'!$C$2:$C$1000)=2)*ISNUMBER(SEARCH($A32,'LOG VẮNG'!$D$2:$D$1000))))</f>
        <v/>
      </c>
      <c r="E32" s="40">
        <f>IF($B32="","",SUMPRODUCT(('LOG VẮNG'!$C$2:$C$1000&lt;&gt;"")*(YEAR('LOG VẮNG'!$C$2:$C$1000)=2026)*(MONTH('LOG VẮNG'!$C$2:$C$1000)=3)*ISNUMBER(SEARCH($A32,'LOG VẮNG'!$D$2:$D$1000))))</f>
        <v/>
      </c>
      <c r="F32" s="40">
        <f>IF($B32="","",SUMPRODUCT(('LOG VẮNG'!$C$2:$C$1000&lt;&gt;"")*(YEAR('LOG VẮNG'!$C$2:$C$1000)=2026)*(MONTH('LOG VẮNG'!$C$2:$C$1000)=4)*ISNUMBER(SEARCH($A32,'LOG VẮNG'!$D$2:$D$1000))))</f>
        <v/>
      </c>
      <c r="G32" s="40">
        <f>IF($B32="","",SUMPRODUCT(('LOG VẮNG'!$C$2:$C$1000&lt;&gt;"")*(YEAR('LOG VẮNG'!$C$2:$C$1000)=2026)*(MONTH('LOG VẮNG'!$C$2:$C$1000)=5)*ISNUMBER(SEARCH($A32,'LOG VẮNG'!$D$2:$D$1000))))</f>
        <v/>
      </c>
      <c r="H32" s="40">
        <f>IF($B32="","",SUMPRODUCT(('LOG VẮNG'!$C$2:$C$1000&lt;&gt;"")*(YEAR('LOG VẮNG'!$C$2:$C$1000)=2026)*(MONTH('LOG VẮNG'!$C$2:$C$1000)=6)*ISNUMBER(SEARCH($A32,'LOG VẮNG'!$D$2:$D$1000))))</f>
        <v/>
      </c>
      <c r="I32" s="40">
        <f>IF($B32="","",SUMPRODUCT(('LOG VẮNG'!$C$2:$C$1000&lt;&gt;"")*(YEAR('LOG VẮNG'!$C$2:$C$1000)=2026)*(MONTH('LOG VẮNG'!$C$2:$C$1000)=7)*ISNUMBER(SEARCH($A32,'LOG VẮNG'!$D$2:$D$1000))))</f>
        <v/>
      </c>
      <c r="J32" s="40">
        <f>IF($B32="","",SUMPRODUCT(('LOG VẮNG'!$C$2:$C$1000&lt;&gt;"")*(YEAR('LOG VẮNG'!$C$2:$C$1000)=2026)*(MONTH('LOG VẮNG'!$C$2:$C$1000)=8)*ISNUMBER(SEARCH($A32,'LOG VẮNG'!$D$2:$D$1000))))</f>
        <v/>
      </c>
      <c r="K32" s="40">
        <f>IF($B32="","",SUMPRODUCT(('LOG VẮNG'!$C$2:$C$1000&lt;&gt;"")*(YEAR('LOG VẮNG'!$C$2:$C$1000)=2026)*(MONTH('LOG VẮNG'!$C$2:$C$1000)=9)*ISNUMBER(SEARCH($A32,'LOG VẮNG'!$D$2:$D$1000))))</f>
        <v/>
      </c>
      <c r="L32" s="40">
        <f>IF($B32="","",SUMPRODUCT(('LOG VẮNG'!$C$2:$C$1000&lt;&gt;"")*(YEAR('LOG VẮNG'!$C$2:$C$1000)=2026)*(MONTH('LOG VẮNG'!$C$2:$C$1000)=10)*ISNUMBER(SEARCH($A32,'LOG VẮNG'!$D$2:$D$1000))))</f>
        <v/>
      </c>
      <c r="M32" s="40">
        <f>IF($B32="","",SUMPRODUCT(('LOG VẮNG'!$C$2:$C$1000&lt;&gt;"")*(YEAR('LOG VẮNG'!$C$2:$C$1000)=2026)*(MONTH('LOG VẮNG'!$C$2:$C$1000)=11)*ISNUMBER(SEARCH($A32,'LOG VẮNG'!$D$2:$D$1000))))</f>
        <v/>
      </c>
      <c r="N32" s="40">
        <f>IF($B32="","",SUMPRODUCT(('LOG VẮNG'!$C$2:$C$1000&lt;&gt;"")*(YEAR('LOG VẮNG'!$C$2:$C$1000)=2026)*(MONTH('LOG VẮNG'!$C$2:$C$1000)=12)*ISNUMBER(SEARCH($A32,'LOG VẮNG'!$D$2:$D$1000))))</f>
        <v/>
      </c>
      <c r="O32" s="40">
        <f>IF($B32="","",SUM(C32:N32))</f>
        <v/>
      </c>
    </row>
    <row r="33">
      <c r="A33" s="40" t="inlineStr">
        <is>
          <t>ORI031</t>
        </is>
      </c>
      <c r="B33" s="46">
        <f>IFERROR(INDEX('HỌC VIÊN'!$B$4:$B$203,MATCH($A33,'HỌC VIÊN'!$A$4:$A$203,0)),"")</f>
        <v/>
      </c>
      <c r="C33" s="40">
        <f>IF($B33="","",SUMPRODUCT(('LOG VẮNG'!$C$2:$C$1000&lt;&gt;"")*(YEAR('LOG VẮNG'!$C$2:$C$1000)=2026)*(MONTH('LOG VẮNG'!$C$2:$C$1000)=1)*ISNUMBER(SEARCH($A33,'LOG VẮNG'!$D$2:$D$1000))))</f>
        <v/>
      </c>
      <c r="D33" s="40">
        <f>IF($B33="","",SUMPRODUCT(('LOG VẮNG'!$C$2:$C$1000&lt;&gt;"")*(YEAR('LOG VẮNG'!$C$2:$C$1000)=2026)*(MONTH('LOG VẮNG'!$C$2:$C$1000)=2)*ISNUMBER(SEARCH($A33,'LOG VẮNG'!$D$2:$D$1000))))</f>
        <v/>
      </c>
      <c r="E33" s="40">
        <f>IF($B33="","",SUMPRODUCT(('LOG VẮNG'!$C$2:$C$1000&lt;&gt;"")*(YEAR('LOG VẮNG'!$C$2:$C$1000)=2026)*(MONTH('LOG VẮNG'!$C$2:$C$1000)=3)*ISNUMBER(SEARCH($A33,'LOG VẮNG'!$D$2:$D$1000))))</f>
        <v/>
      </c>
      <c r="F33" s="40">
        <f>IF($B33="","",SUMPRODUCT(('LOG VẮNG'!$C$2:$C$1000&lt;&gt;"")*(YEAR('LOG VẮNG'!$C$2:$C$1000)=2026)*(MONTH('LOG VẮNG'!$C$2:$C$1000)=4)*ISNUMBER(SEARCH($A33,'LOG VẮNG'!$D$2:$D$1000))))</f>
        <v/>
      </c>
      <c r="G33" s="40">
        <f>IF($B33="","",SUMPRODUCT(('LOG VẮNG'!$C$2:$C$1000&lt;&gt;"")*(YEAR('LOG VẮNG'!$C$2:$C$1000)=2026)*(MONTH('LOG VẮNG'!$C$2:$C$1000)=5)*ISNUMBER(SEARCH($A33,'LOG VẮNG'!$D$2:$D$1000))))</f>
        <v/>
      </c>
      <c r="H33" s="40">
        <f>IF($B33="","",SUMPRODUCT(('LOG VẮNG'!$C$2:$C$1000&lt;&gt;"")*(YEAR('LOG VẮNG'!$C$2:$C$1000)=2026)*(MONTH('LOG VẮNG'!$C$2:$C$1000)=6)*ISNUMBER(SEARCH($A33,'LOG VẮNG'!$D$2:$D$1000))))</f>
        <v/>
      </c>
      <c r="I33" s="40">
        <f>IF($B33="","",SUMPRODUCT(('LOG VẮNG'!$C$2:$C$1000&lt;&gt;"")*(YEAR('LOG VẮNG'!$C$2:$C$1000)=2026)*(MONTH('LOG VẮNG'!$C$2:$C$1000)=7)*ISNUMBER(SEARCH($A33,'LOG VẮNG'!$D$2:$D$1000))))</f>
        <v/>
      </c>
      <c r="J33" s="40">
        <f>IF($B33="","",SUMPRODUCT(('LOG VẮNG'!$C$2:$C$1000&lt;&gt;"")*(YEAR('LOG VẮNG'!$C$2:$C$1000)=2026)*(MONTH('LOG VẮNG'!$C$2:$C$1000)=8)*ISNUMBER(SEARCH($A33,'LOG VẮNG'!$D$2:$D$1000))))</f>
        <v/>
      </c>
      <c r="K33" s="40">
        <f>IF($B33="","",SUMPRODUCT(('LOG VẮNG'!$C$2:$C$1000&lt;&gt;"")*(YEAR('LOG VẮNG'!$C$2:$C$1000)=2026)*(MONTH('LOG VẮNG'!$C$2:$C$1000)=9)*ISNUMBER(SEARCH($A33,'LOG VẮNG'!$D$2:$D$1000))))</f>
        <v/>
      </c>
      <c r="L33" s="40">
        <f>IF($B33="","",SUMPRODUCT(('LOG VẮNG'!$C$2:$C$1000&lt;&gt;"")*(YEAR('LOG VẮNG'!$C$2:$C$1000)=2026)*(MONTH('LOG VẮNG'!$C$2:$C$1000)=10)*ISNUMBER(SEARCH($A33,'LOG VẮNG'!$D$2:$D$1000))))</f>
        <v/>
      </c>
      <c r="M33" s="40">
        <f>IF($B33="","",SUMPRODUCT(('LOG VẮNG'!$C$2:$C$1000&lt;&gt;"")*(YEAR('LOG VẮNG'!$C$2:$C$1000)=2026)*(MONTH('LOG VẮNG'!$C$2:$C$1000)=11)*ISNUMBER(SEARCH($A33,'LOG VẮNG'!$D$2:$D$1000))))</f>
        <v/>
      </c>
      <c r="N33" s="40">
        <f>IF($B33="","",SUMPRODUCT(('LOG VẮNG'!$C$2:$C$1000&lt;&gt;"")*(YEAR('LOG VẮNG'!$C$2:$C$1000)=2026)*(MONTH('LOG VẮNG'!$C$2:$C$1000)=12)*ISNUMBER(SEARCH($A33,'LOG VẮNG'!$D$2:$D$1000))))</f>
        <v/>
      </c>
      <c r="O33" s="40">
        <f>IF($B33="","",SUM(C33:N33))</f>
        <v/>
      </c>
    </row>
    <row r="34">
      <c r="A34" s="40" t="inlineStr">
        <is>
          <t>ORI032</t>
        </is>
      </c>
      <c r="B34" s="46">
        <f>IFERROR(INDEX('HỌC VIÊN'!$B$4:$B$203,MATCH($A34,'HỌC VIÊN'!$A$4:$A$203,0)),"")</f>
        <v/>
      </c>
      <c r="C34" s="40">
        <f>IF($B34="","",SUMPRODUCT(('LOG VẮNG'!$C$2:$C$1000&lt;&gt;"")*(YEAR('LOG VẮNG'!$C$2:$C$1000)=2026)*(MONTH('LOG VẮNG'!$C$2:$C$1000)=1)*ISNUMBER(SEARCH($A34,'LOG VẮNG'!$D$2:$D$1000))))</f>
        <v/>
      </c>
      <c r="D34" s="40">
        <f>IF($B34="","",SUMPRODUCT(('LOG VẮNG'!$C$2:$C$1000&lt;&gt;"")*(YEAR('LOG VẮNG'!$C$2:$C$1000)=2026)*(MONTH('LOG VẮNG'!$C$2:$C$1000)=2)*ISNUMBER(SEARCH($A34,'LOG VẮNG'!$D$2:$D$1000))))</f>
        <v/>
      </c>
      <c r="E34" s="40">
        <f>IF($B34="","",SUMPRODUCT(('LOG VẮNG'!$C$2:$C$1000&lt;&gt;"")*(YEAR('LOG VẮNG'!$C$2:$C$1000)=2026)*(MONTH('LOG VẮNG'!$C$2:$C$1000)=3)*ISNUMBER(SEARCH($A34,'LOG VẮNG'!$D$2:$D$1000))))</f>
        <v/>
      </c>
      <c r="F34" s="40">
        <f>IF($B34="","",SUMPRODUCT(('LOG VẮNG'!$C$2:$C$1000&lt;&gt;"")*(YEAR('LOG VẮNG'!$C$2:$C$1000)=2026)*(MONTH('LOG VẮNG'!$C$2:$C$1000)=4)*ISNUMBER(SEARCH($A34,'LOG VẮNG'!$D$2:$D$1000))))</f>
        <v/>
      </c>
      <c r="G34" s="40">
        <f>IF($B34="","",SUMPRODUCT(('LOG VẮNG'!$C$2:$C$1000&lt;&gt;"")*(YEAR('LOG VẮNG'!$C$2:$C$1000)=2026)*(MONTH('LOG VẮNG'!$C$2:$C$1000)=5)*ISNUMBER(SEARCH($A34,'LOG VẮNG'!$D$2:$D$1000))))</f>
        <v/>
      </c>
      <c r="H34" s="40">
        <f>IF($B34="","",SUMPRODUCT(('LOG VẮNG'!$C$2:$C$1000&lt;&gt;"")*(YEAR('LOG VẮNG'!$C$2:$C$1000)=2026)*(MONTH('LOG VẮNG'!$C$2:$C$1000)=6)*ISNUMBER(SEARCH($A34,'LOG VẮNG'!$D$2:$D$1000))))</f>
        <v/>
      </c>
      <c r="I34" s="40">
        <f>IF($B34="","",SUMPRODUCT(('LOG VẮNG'!$C$2:$C$1000&lt;&gt;"")*(YEAR('LOG VẮNG'!$C$2:$C$1000)=2026)*(MONTH('LOG VẮNG'!$C$2:$C$1000)=7)*ISNUMBER(SEARCH($A34,'LOG VẮNG'!$D$2:$D$1000))))</f>
        <v/>
      </c>
      <c r="J34" s="40">
        <f>IF($B34="","",SUMPRODUCT(('LOG VẮNG'!$C$2:$C$1000&lt;&gt;"")*(YEAR('LOG VẮNG'!$C$2:$C$1000)=2026)*(MONTH('LOG VẮNG'!$C$2:$C$1000)=8)*ISNUMBER(SEARCH($A34,'LOG VẮNG'!$D$2:$D$1000))))</f>
        <v/>
      </c>
      <c r="K34" s="40">
        <f>IF($B34="","",SUMPRODUCT(('LOG VẮNG'!$C$2:$C$1000&lt;&gt;"")*(YEAR('LOG VẮNG'!$C$2:$C$1000)=2026)*(MONTH('LOG VẮNG'!$C$2:$C$1000)=9)*ISNUMBER(SEARCH($A34,'LOG VẮNG'!$D$2:$D$1000))))</f>
        <v/>
      </c>
      <c r="L34" s="40">
        <f>IF($B34="","",SUMPRODUCT(('LOG VẮNG'!$C$2:$C$1000&lt;&gt;"")*(YEAR('LOG VẮNG'!$C$2:$C$1000)=2026)*(MONTH('LOG VẮNG'!$C$2:$C$1000)=10)*ISNUMBER(SEARCH($A34,'LOG VẮNG'!$D$2:$D$1000))))</f>
        <v/>
      </c>
      <c r="M34" s="40">
        <f>IF($B34="","",SUMPRODUCT(('LOG VẮNG'!$C$2:$C$1000&lt;&gt;"")*(YEAR('LOG VẮNG'!$C$2:$C$1000)=2026)*(MONTH('LOG VẮNG'!$C$2:$C$1000)=11)*ISNUMBER(SEARCH($A34,'LOG VẮNG'!$D$2:$D$1000))))</f>
        <v/>
      </c>
      <c r="N34" s="40">
        <f>IF($B34="","",SUMPRODUCT(('LOG VẮNG'!$C$2:$C$1000&lt;&gt;"")*(YEAR('LOG VẮNG'!$C$2:$C$1000)=2026)*(MONTH('LOG VẮNG'!$C$2:$C$1000)=12)*ISNUMBER(SEARCH($A34,'LOG VẮNG'!$D$2:$D$1000))))</f>
        <v/>
      </c>
      <c r="O34" s="40">
        <f>IF($B34="","",SUM(C34:N34))</f>
        <v/>
      </c>
    </row>
    <row r="35">
      <c r="A35" s="40" t="inlineStr">
        <is>
          <t>ORI033</t>
        </is>
      </c>
      <c r="B35" s="46">
        <f>IFERROR(INDEX('HỌC VIÊN'!$B$4:$B$203,MATCH($A35,'HỌC VIÊN'!$A$4:$A$203,0)),"")</f>
        <v/>
      </c>
      <c r="C35" s="40">
        <f>IF($B35="","",SUMPRODUCT(('LOG VẮNG'!$C$2:$C$1000&lt;&gt;"")*(YEAR('LOG VẮNG'!$C$2:$C$1000)=2026)*(MONTH('LOG VẮNG'!$C$2:$C$1000)=1)*ISNUMBER(SEARCH($A35,'LOG VẮNG'!$D$2:$D$1000))))</f>
        <v/>
      </c>
      <c r="D35" s="40">
        <f>IF($B35="","",SUMPRODUCT(('LOG VẮNG'!$C$2:$C$1000&lt;&gt;"")*(YEAR('LOG VẮNG'!$C$2:$C$1000)=2026)*(MONTH('LOG VẮNG'!$C$2:$C$1000)=2)*ISNUMBER(SEARCH($A35,'LOG VẮNG'!$D$2:$D$1000))))</f>
        <v/>
      </c>
      <c r="E35" s="40">
        <f>IF($B35="","",SUMPRODUCT(('LOG VẮNG'!$C$2:$C$1000&lt;&gt;"")*(YEAR('LOG VẮNG'!$C$2:$C$1000)=2026)*(MONTH('LOG VẮNG'!$C$2:$C$1000)=3)*ISNUMBER(SEARCH($A35,'LOG VẮNG'!$D$2:$D$1000))))</f>
        <v/>
      </c>
      <c r="F35" s="40">
        <f>IF($B35="","",SUMPRODUCT(('LOG VẮNG'!$C$2:$C$1000&lt;&gt;"")*(YEAR('LOG VẮNG'!$C$2:$C$1000)=2026)*(MONTH('LOG VẮNG'!$C$2:$C$1000)=4)*ISNUMBER(SEARCH($A35,'LOG VẮNG'!$D$2:$D$1000))))</f>
        <v/>
      </c>
      <c r="G35" s="40">
        <f>IF($B35="","",SUMPRODUCT(('LOG VẮNG'!$C$2:$C$1000&lt;&gt;"")*(YEAR('LOG VẮNG'!$C$2:$C$1000)=2026)*(MONTH('LOG VẮNG'!$C$2:$C$1000)=5)*ISNUMBER(SEARCH($A35,'LOG VẮNG'!$D$2:$D$1000))))</f>
        <v/>
      </c>
      <c r="H35" s="40">
        <f>IF($B35="","",SUMPRODUCT(('LOG VẮNG'!$C$2:$C$1000&lt;&gt;"")*(YEAR('LOG VẮNG'!$C$2:$C$1000)=2026)*(MONTH('LOG VẮNG'!$C$2:$C$1000)=6)*ISNUMBER(SEARCH($A35,'LOG VẮNG'!$D$2:$D$1000))))</f>
        <v/>
      </c>
      <c r="I35" s="40">
        <f>IF($B35="","",SUMPRODUCT(('LOG VẮNG'!$C$2:$C$1000&lt;&gt;"")*(YEAR('LOG VẮNG'!$C$2:$C$1000)=2026)*(MONTH('LOG VẮNG'!$C$2:$C$1000)=7)*ISNUMBER(SEARCH($A35,'LOG VẮNG'!$D$2:$D$1000))))</f>
        <v/>
      </c>
      <c r="J35" s="40">
        <f>IF($B35="","",SUMPRODUCT(('LOG VẮNG'!$C$2:$C$1000&lt;&gt;"")*(YEAR('LOG VẮNG'!$C$2:$C$1000)=2026)*(MONTH('LOG VẮNG'!$C$2:$C$1000)=8)*ISNUMBER(SEARCH($A35,'LOG VẮNG'!$D$2:$D$1000))))</f>
        <v/>
      </c>
      <c r="K35" s="40">
        <f>IF($B35="","",SUMPRODUCT(('LOG VẮNG'!$C$2:$C$1000&lt;&gt;"")*(YEAR('LOG VẮNG'!$C$2:$C$1000)=2026)*(MONTH('LOG VẮNG'!$C$2:$C$1000)=9)*ISNUMBER(SEARCH($A35,'LOG VẮNG'!$D$2:$D$1000))))</f>
        <v/>
      </c>
      <c r="L35" s="40">
        <f>IF($B35="","",SUMPRODUCT(('LOG VẮNG'!$C$2:$C$1000&lt;&gt;"")*(YEAR('LOG VẮNG'!$C$2:$C$1000)=2026)*(MONTH('LOG VẮNG'!$C$2:$C$1000)=10)*ISNUMBER(SEARCH($A35,'LOG VẮNG'!$D$2:$D$1000))))</f>
        <v/>
      </c>
      <c r="M35" s="40">
        <f>IF($B35="","",SUMPRODUCT(('LOG VẮNG'!$C$2:$C$1000&lt;&gt;"")*(YEAR('LOG VẮNG'!$C$2:$C$1000)=2026)*(MONTH('LOG VẮNG'!$C$2:$C$1000)=11)*ISNUMBER(SEARCH($A35,'LOG VẮNG'!$D$2:$D$1000))))</f>
        <v/>
      </c>
      <c r="N35" s="40">
        <f>IF($B35="","",SUMPRODUCT(('LOG VẮNG'!$C$2:$C$1000&lt;&gt;"")*(YEAR('LOG VẮNG'!$C$2:$C$1000)=2026)*(MONTH('LOG VẮNG'!$C$2:$C$1000)=12)*ISNUMBER(SEARCH($A35,'LOG VẮNG'!$D$2:$D$1000))))</f>
        <v/>
      </c>
      <c r="O35" s="40">
        <f>IF($B35="","",SUM(C35:N35))</f>
        <v/>
      </c>
    </row>
    <row r="36">
      <c r="A36" s="40" t="inlineStr">
        <is>
          <t>ORI034</t>
        </is>
      </c>
      <c r="B36" s="46">
        <f>IFERROR(INDEX('HỌC VIÊN'!$B$4:$B$203,MATCH($A36,'HỌC VIÊN'!$A$4:$A$203,0)),"")</f>
        <v/>
      </c>
      <c r="C36" s="40">
        <f>IF($B36="","",SUMPRODUCT(('LOG VẮNG'!$C$2:$C$1000&lt;&gt;"")*(YEAR('LOG VẮNG'!$C$2:$C$1000)=2026)*(MONTH('LOG VẮNG'!$C$2:$C$1000)=1)*ISNUMBER(SEARCH($A36,'LOG VẮNG'!$D$2:$D$1000))))</f>
        <v/>
      </c>
      <c r="D36" s="40">
        <f>IF($B36="","",SUMPRODUCT(('LOG VẮNG'!$C$2:$C$1000&lt;&gt;"")*(YEAR('LOG VẮNG'!$C$2:$C$1000)=2026)*(MONTH('LOG VẮNG'!$C$2:$C$1000)=2)*ISNUMBER(SEARCH($A36,'LOG VẮNG'!$D$2:$D$1000))))</f>
        <v/>
      </c>
      <c r="E36" s="40">
        <f>IF($B36="","",SUMPRODUCT(('LOG VẮNG'!$C$2:$C$1000&lt;&gt;"")*(YEAR('LOG VẮNG'!$C$2:$C$1000)=2026)*(MONTH('LOG VẮNG'!$C$2:$C$1000)=3)*ISNUMBER(SEARCH($A36,'LOG VẮNG'!$D$2:$D$1000))))</f>
        <v/>
      </c>
      <c r="F36" s="40">
        <f>IF($B36="","",SUMPRODUCT(('LOG VẮNG'!$C$2:$C$1000&lt;&gt;"")*(YEAR('LOG VẮNG'!$C$2:$C$1000)=2026)*(MONTH('LOG VẮNG'!$C$2:$C$1000)=4)*ISNUMBER(SEARCH($A36,'LOG VẮNG'!$D$2:$D$1000))))</f>
        <v/>
      </c>
      <c r="G36" s="40">
        <f>IF($B36="","",SUMPRODUCT(('LOG VẮNG'!$C$2:$C$1000&lt;&gt;"")*(YEAR('LOG VẮNG'!$C$2:$C$1000)=2026)*(MONTH('LOG VẮNG'!$C$2:$C$1000)=5)*ISNUMBER(SEARCH($A36,'LOG VẮNG'!$D$2:$D$1000))))</f>
        <v/>
      </c>
      <c r="H36" s="40">
        <f>IF($B36="","",SUMPRODUCT(('LOG VẮNG'!$C$2:$C$1000&lt;&gt;"")*(YEAR('LOG VẮNG'!$C$2:$C$1000)=2026)*(MONTH('LOG VẮNG'!$C$2:$C$1000)=6)*ISNUMBER(SEARCH($A36,'LOG VẮNG'!$D$2:$D$1000))))</f>
        <v/>
      </c>
      <c r="I36" s="40">
        <f>IF($B36="","",SUMPRODUCT(('LOG VẮNG'!$C$2:$C$1000&lt;&gt;"")*(YEAR('LOG VẮNG'!$C$2:$C$1000)=2026)*(MONTH('LOG VẮNG'!$C$2:$C$1000)=7)*ISNUMBER(SEARCH($A36,'LOG VẮNG'!$D$2:$D$1000))))</f>
        <v/>
      </c>
      <c r="J36" s="40">
        <f>IF($B36="","",SUMPRODUCT(('LOG VẮNG'!$C$2:$C$1000&lt;&gt;"")*(YEAR('LOG VẮNG'!$C$2:$C$1000)=2026)*(MONTH('LOG VẮNG'!$C$2:$C$1000)=8)*ISNUMBER(SEARCH($A36,'LOG VẮNG'!$D$2:$D$1000))))</f>
        <v/>
      </c>
      <c r="K36" s="40">
        <f>IF($B36="","",SUMPRODUCT(('LOG VẮNG'!$C$2:$C$1000&lt;&gt;"")*(YEAR('LOG VẮNG'!$C$2:$C$1000)=2026)*(MONTH('LOG VẮNG'!$C$2:$C$1000)=9)*ISNUMBER(SEARCH($A36,'LOG VẮNG'!$D$2:$D$1000))))</f>
        <v/>
      </c>
      <c r="L36" s="40">
        <f>IF($B36="","",SUMPRODUCT(('LOG VẮNG'!$C$2:$C$1000&lt;&gt;"")*(YEAR('LOG VẮNG'!$C$2:$C$1000)=2026)*(MONTH('LOG VẮNG'!$C$2:$C$1000)=10)*ISNUMBER(SEARCH($A36,'LOG VẮNG'!$D$2:$D$1000))))</f>
        <v/>
      </c>
      <c r="M36" s="40">
        <f>IF($B36="","",SUMPRODUCT(('LOG VẮNG'!$C$2:$C$1000&lt;&gt;"")*(YEAR('LOG VẮNG'!$C$2:$C$1000)=2026)*(MONTH('LOG VẮNG'!$C$2:$C$1000)=11)*ISNUMBER(SEARCH($A36,'LOG VẮNG'!$D$2:$D$1000))))</f>
        <v/>
      </c>
      <c r="N36" s="40">
        <f>IF($B36="","",SUMPRODUCT(('LOG VẮNG'!$C$2:$C$1000&lt;&gt;"")*(YEAR('LOG VẮNG'!$C$2:$C$1000)=2026)*(MONTH('LOG VẮNG'!$C$2:$C$1000)=12)*ISNUMBER(SEARCH($A36,'LOG VẮNG'!$D$2:$D$1000))))</f>
        <v/>
      </c>
      <c r="O36" s="40">
        <f>IF($B36="","",SUM(C36:N36))</f>
        <v/>
      </c>
    </row>
    <row r="37">
      <c r="A37" s="40" t="inlineStr">
        <is>
          <t>ORI035</t>
        </is>
      </c>
      <c r="B37" s="46">
        <f>IFERROR(INDEX('HỌC VIÊN'!$B$4:$B$203,MATCH($A37,'HỌC VIÊN'!$A$4:$A$203,0)),"")</f>
        <v/>
      </c>
      <c r="C37" s="40">
        <f>IF($B37="","",SUMPRODUCT(('LOG VẮNG'!$C$2:$C$1000&lt;&gt;"")*(YEAR('LOG VẮNG'!$C$2:$C$1000)=2026)*(MONTH('LOG VẮNG'!$C$2:$C$1000)=1)*ISNUMBER(SEARCH($A37,'LOG VẮNG'!$D$2:$D$1000))))</f>
        <v/>
      </c>
      <c r="D37" s="40">
        <f>IF($B37="","",SUMPRODUCT(('LOG VẮNG'!$C$2:$C$1000&lt;&gt;"")*(YEAR('LOG VẮNG'!$C$2:$C$1000)=2026)*(MONTH('LOG VẮNG'!$C$2:$C$1000)=2)*ISNUMBER(SEARCH($A37,'LOG VẮNG'!$D$2:$D$1000))))</f>
        <v/>
      </c>
      <c r="E37" s="40">
        <f>IF($B37="","",SUMPRODUCT(('LOG VẮNG'!$C$2:$C$1000&lt;&gt;"")*(YEAR('LOG VẮNG'!$C$2:$C$1000)=2026)*(MONTH('LOG VẮNG'!$C$2:$C$1000)=3)*ISNUMBER(SEARCH($A37,'LOG VẮNG'!$D$2:$D$1000))))</f>
        <v/>
      </c>
      <c r="F37" s="40">
        <f>IF($B37="","",SUMPRODUCT(('LOG VẮNG'!$C$2:$C$1000&lt;&gt;"")*(YEAR('LOG VẮNG'!$C$2:$C$1000)=2026)*(MONTH('LOG VẮNG'!$C$2:$C$1000)=4)*ISNUMBER(SEARCH($A37,'LOG VẮNG'!$D$2:$D$1000))))</f>
        <v/>
      </c>
      <c r="G37" s="40">
        <f>IF($B37="","",SUMPRODUCT(('LOG VẮNG'!$C$2:$C$1000&lt;&gt;"")*(YEAR('LOG VẮNG'!$C$2:$C$1000)=2026)*(MONTH('LOG VẮNG'!$C$2:$C$1000)=5)*ISNUMBER(SEARCH($A37,'LOG VẮNG'!$D$2:$D$1000))))</f>
        <v/>
      </c>
      <c r="H37" s="40">
        <f>IF($B37="","",SUMPRODUCT(('LOG VẮNG'!$C$2:$C$1000&lt;&gt;"")*(YEAR('LOG VẮNG'!$C$2:$C$1000)=2026)*(MONTH('LOG VẮNG'!$C$2:$C$1000)=6)*ISNUMBER(SEARCH($A37,'LOG VẮNG'!$D$2:$D$1000))))</f>
        <v/>
      </c>
      <c r="I37" s="40">
        <f>IF($B37="","",SUMPRODUCT(('LOG VẮNG'!$C$2:$C$1000&lt;&gt;"")*(YEAR('LOG VẮNG'!$C$2:$C$1000)=2026)*(MONTH('LOG VẮNG'!$C$2:$C$1000)=7)*ISNUMBER(SEARCH($A37,'LOG VẮNG'!$D$2:$D$1000))))</f>
        <v/>
      </c>
      <c r="J37" s="40">
        <f>IF($B37="","",SUMPRODUCT(('LOG VẮNG'!$C$2:$C$1000&lt;&gt;"")*(YEAR('LOG VẮNG'!$C$2:$C$1000)=2026)*(MONTH('LOG VẮNG'!$C$2:$C$1000)=8)*ISNUMBER(SEARCH($A37,'LOG VẮNG'!$D$2:$D$1000))))</f>
        <v/>
      </c>
      <c r="K37" s="40">
        <f>IF($B37="","",SUMPRODUCT(('LOG VẮNG'!$C$2:$C$1000&lt;&gt;"")*(YEAR('LOG VẮNG'!$C$2:$C$1000)=2026)*(MONTH('LOG VẮNG'!$C$2:$C$1000)=9)*ISNUMBER(SEARCH($A37,'LOG VẮNG'!$D$2:$D$1000))))</f>
        <v/>
      </c>
      <c r="L37" s="40">
        <f>IF($B37="","",SUMPRODUCT(('LOG VẮNG'!$C$2:$C$1000&lt;&gt;"")*(YEAR('LOG VẮNG'!$C$2:$C$1000)=2026)*(MONTH('LOG VẮNG'!$C$2:$C$1000)=10)*ISNUMBER(SEARCH($A37,'LOG VẮNG'!$D$2:$D$1000))))</f>
        <v/>
      </c>
      <c r="M37" s="40">
        <f>IF($B37="","",SUMPRODUCT(('LOG VẮNG'!$C$2:$C$1000&lt;&gt;"")*(YEAR('LOG VẮNG'!$C$2:$C$1000)=2026)*(MONTH('LOG VẮNG'!$C$2:$C$1000)=11)*ISNUMBER(SEARCH($A37,'LOG VẮNG'!$D$2:$D$1000))))</f>
        <v/>
      </c>
      <c r="N37" s="40">
        <f>IF($B37="","",SUMPRODUCT(('LOG VẮNG'!$C$2:$C$1000&lt;&gt;"")*(YEAR('LOG VẮNG'!$C$2:$C$1000)=2026)*(MONTH('LOG VẮNG'!$C$2:$C$1000)=12)*ISNUMBER(SEARCH($A37,'LOG VẮNG'!$D$2:$D$1000))))</f>
        <v/>
      </c>
      <c r="O37" s="40">
        <f>IF($B37="","",SUM(C37:N37))</f>
        <v/>
      </c>
    </row>
    <row r="38">
      <c r="A38" s="40" t="inlineStr">
        <is>
          <t>ORI036</t>
        </is>
      </c>
      <c r="B38" s="46">
        <f>IFERROR(INDEX('HỌC VIÊN'!$B$4:$B$203,MATCH($A38,'HỌC VIÊN'!$A$4:$A$203,0)),"")</f>
        <v/>
      </c>
      <c r="C38" s="40">
        <f>IF($B38="","",SUMPRODUCT(('LOG VẮNG'!$C$2:$C$1000&lt;&gt;"")*(YEAR('LOG VẮNG'!$C$2:$C$1000)=2026)*(MONTH('LOG VẮNG'!$C$2:$C$1000)=1)*ISNUMBER(SEARCH($A38,'LOG VẮNG'!$D$2:$D$1000))))</f>
        <v/>
      </c>
      <c r="D38" s="40">
        <f>IF($B38="","",SUMPRODUCT(('LOG VẮNG'!$C$2:$C$1000&lt;&gt;"")*(YEAR('LOG VẮNG'!$C$2:$C$1000)=2026)*(MONTH('LOG VẮNG'!$C$2:$C$1000)=2)*ISNUMBER(SEARCH($A38,'LOG VẮNG'!$D$2:$D$1000))))</f>
        <v/>
      </c>
      <c r="E38" s="40">
        <f>IF($B38="","",SUMPRODUCT(('LOG VẮNG'!$C$2:$C$1000&lt;&gt;"")*(YEAR('LOG VẮNG'!$C$2:$C$1000)=2026)*(MONTH('LOG VẮNG'!$C$2:$C$1000)=3)*ISNUMBER(SEARCH($A38,'LOG VẮNG'!$D$2:$D$1000))))</f>
        <v/>
      </c>
      <c r="F38" s="40">
        <f>IF($B38="","",SUMPRODUCT(('LOG VẮNG'!$C$2:$C$1000&lt;&gt;"")*(YEAR('LOG VẮNG'!$C$2:$C$1000)=2026)*(MONTH('LOG VẮNG'!$C$2:$C$1000)=4)*ISNUMBER(SEARCH($A38,'LOG VẮNG'!$D$2:$D$1000))))</f>
        <v/>
      </c>
      <c r="G38" s="40">
        <f>IF($B38="","",SUMPRODUCT(('LOG VẮNG'!$C$2:$C$1000&lt;&gt;"")*(YEAR('LOG VẮNG'!$C$2:$C$1000)=2026)*(MONTH('LOG VẮNG'!$C$2:$C$1000)=5)*ISNUMBER(SEARCH($A38,'LOG VẮNG'!$D$2:$D$1000))))</f>
        <v/>
      </c>
      <c r="H38" s="40">
        <f>IF($B38="","",SUMPRODUCT(('LOG VẮNG'!$C$2:$C$1000&lt;&gt;"")*(YEAR('LOG VẮNG'!$C$2:$C$1000)=2026)*(MONTH('LOG VẮNG'!$C$2:$C$1000)=6)*ISNUMBER(SEARCH($A38,'LOG VẮNG'!$D$2:$D$1000))))</f>
        <v/>
      </c>
      <c r="I38" s="40">
        <f>IF($B38="","",SUMPRODUCT(('LOG VẮNG'!$C$2:$C$1000&lt;&gt;"")*(YEAR('LOG VẮNG'!$C$2:$C$1000)=2026)*(MONTH('LOG VẮNG'!$C$2:$C$1000)=7)*ISNUMBER(SEARCH($A38,'LOG VẮNG'!$D$2:$D$1000))))</f>
        <v/>
      </c>
      <c r="J38" s="40">
        <f>IF($B38="","",SUMPRODUCT(('LOG VẮNG'!$C$2:$C$1000&lt;&gt;"")*(YEAR('LOG VẮNG'!$C$2:$C$1000)=2026)*(MONTH('LOG VẮNG'!$C$2:$C$1000)=8)*ISNUMBER(SEARCH($A38,'LOG VẮNG'!$D$2:$D$1000))))</f>
        <v/>
      </c>
      <c r="K38" s="40">
        <f>IF($B38="","",SUMPRODUCT(('LOG VẮNG'!$C$2:$C$1000&lt;&gt;"")*(YEAR('LOG VẮNG'!$C$2:$C$1000)=2026)*(MONTH('LOG VẮNG'!$C$2:$C$1000)=9)*ISNUMBER(SEARCH($A38,'LOG VẮNG'!$D$2:$D$1000))))</f>
        <v/>
      </c>
      <c r="L38" s="40">
        <f>IF($B38="","",SUMPRODUCT(('LOG VẮNG'!$C$2:$C$1000&lt;&gt;"")*(YEAR('LOG VẮNG'!$C$2:$C$1000)=2026)*(MONTH('LOG VẮNG'!$C$2:$C$1000)=10)*ISNUMBER(SEARCH($A38,'LOG VẮNG'!$D$2:$D$1000))))</f>
        <v/>
      </c>
      <c r="M38" s="40">
        <f>IF($B38="","",SUMPRODUCT(('LOG VẮNG'!$C$2:$C$1000&lt;&gt;"")*(YEAR('LOG VẮNG'!$C$2:$C$1000)=2026)*(MONTH('LOG VẮNG'!$C$2:$C$1000)=11)*ISNUMBER(SEARCH($A38,'LOG VẮNG'!$D$2:$D$1000))))</f>
        <v/>
      </c>
      <c r="N38" s="40">
        <f>IF($B38="","",SUMPRODUCT(('LOG VẮNG'!$C$2:$C$1000&lt;&gt;"")*(YEAR('LOG VẮNG'!$C$2:$C$1000)=2026)*(MONTH('LOG VẮNG'!$C$2:$C$1000)=12)*ISNUMBER(SEARCH($A38,'LOG VẮNG'!$D$2:$D$1000))))</f>
        <v/>
      </c>
      <c r="O38" s="40">
        <f>IF($B38="","",SUM(C38:N38))</f>
        <v/>
      </c>
    </row>
    <row r="39">
      <c r="A39" s="40" t="inlineStr">
        <is>
          <t>ORI037</t>
        </is>
      </c>
      <c r="B39" s="46">
        <f>IFERROR(INDEX('HỌC VIÊN'!$B$4:$B$203,MATCH($A39,'HỌC VIÊN'!$A$4:$A$203,0)),"")</f>
        <v/>
      </c>
      <c r="C39" s="40">
        <f>IF($B39="","",SUMPRODUCT(('LOG VẮNG'!$C$2:$C$1000&lt;&gt;"")*(YEAR('LOG VẮNG'!$C$2:$C$1000)=2026)*(MONTH('LOG VẮNG'!$C$2:$C$1000)=1)*ISNUMBER(SEARCH($A39,'LOG VẮNG'!$D$2:$D$1000))))</f>
        <v/>
      </c>
      <c r="D39" s="40">
        <f>IF($B39="","",SUMPRODUCT(('LOG VẮNG'!$C$2:$C$1000&lt;&gt;"")*(YEAR('LOG VẮNG'!$C$2:$C$1000)=2026)*(MONTH('LOG VẮNG'!$C$2:$C$1000)=2)*ISNUMBER(SEARCH($A39,'LOG VẮNG'!$D$2:$D$1000))))</f>
        <v/>
      </c>
      <c r="E39" s="40">
        <f>IF($B39="","",SUMPRODUCT(('LOG VẮNG'!$C$2:$C$1000&lt;&gt;"")*(YEAR('LOG VẮNG'!$C$2:$C$1000)=2026)*(MONTH('LOG VẮNG'!$C$2:$C$1000)=3)*ISNUMBER(SEARCH($A39,'LOG VẮNG'!$D$2:$D$1000))))</f>
        <v/>
      </c>
      <c r="F39" s="40">
        <f>IF($B39="","",SUMPRODUCT(('LOG VẮNG'!$C$2:$C$1000&lt;&gt;"")*(YEAR('LOG VẮNG'!$C$2:$C$1000)=2026)*(MONTH('LOG VẮNG'!$C$2:$C$1000)=4)*ISNUMBER(SEARCH($A39,'LOG VẮNG'!$D$2:$D$1000))))</f>
        <v/>
      </c>
      <c r="G39" s="40">
        <f>IF($B39="","",SUMPRODUCT(('LOG VẮNG'!$C$2:$C$1000&lt;&gt;"")*(YEAR('LOG VẮNG'!$C$2:$C$1000)=2026)*(MONTH('LOG VẮNG'!$C$2:$C$1000)=5)*ISNUMBER(SEARCH($A39,'LOG VẮNG'!$D$2:$D$1000))))</f>
        <v/>
      </c>
      <c r="H39" s="40">
        <f>IF($B39="","",SUMPRODUCT(('LOG VẮNG'!$C$2:$C$1000&lt;&gt;"")*(YEAR('LOG VẮNG'!$C$2:$C$1000)=2026)*(MONTH('LOG VẮNG'!$C$2:$C$1000)=6)*ISNUMBER(SEARCH($A39,'LOG VẮNG'!$D$2:$D$1000))))</f>
        <v/>
      </c>
      <c r="I39" s="40">
        <f>IF($B39="","",SUMPRODUCT(('LOG VẮNG'!$C$2:$C$1000&lt;&gt;"")*(YEAR('LOG VẮNG'!$C$2:$C$1000)=2026)*(MONTH('LOG VẮNG'!$C$2:$C$1000)=7)*ISNUMBER(SEARCH($A39,'LOG VẮNG'!$D$2:$D$1000))))</f>
        <v/>
      </c>
      <c r="J39" s="40">
        <f>IF($B39="","",SUMPRODUCT(('LOG VẮNG'!$C$2:$C$1000&lt;&gt;"")*(YEAR('LOG VẮNG'!$C$2:$C$1000)=2026)*(MONTH('LOG VẮNG'!$C$2:$C$1000)=8)*ISNUMBER(SEARCH($A39,'LOG VẮNG'!$D$2:$D$1000))))</f>
        <v/>
      </c>
      <c r="K39" s="40">
        <f>IF($B39="","",SUMPRODUCT(('LOG VẮNG'!$C$2:$C$1000&lt;&gt;"")*(YEAR('LOG VẮNG'!$C$2:$C$1000)=2026)*(MONTH('LOG VẮNG'!$C$2:$C$1000)=9)*ISNUMBER(SEARCH($A39,'LOG VẮNG'!$D$2:$D$1000))))</f>
        <v/>
      </c>
      <c r="L39" s="40">
        <f>IF($B39="","",SUMPRODUCT(('LOG VẮNG'!$C$2:$C$1000&lt;&gt;"")*(YEAR('LOG VẮNG'!$C$2:$C$1000)=2026)*(MONTH('LOG VẮNG'!$C$2:$C$1000)=10)*ISNUMBER(SEARCH($A39,'LOG VẮNG'!$D$2:$D$1000))))</f>
        <v/>
      </c>
      <c r="M39" s="40">
        <f>IF($B39="","",SUMPRODUCT(('LOG VẮNG'!$C$2:$C$1000&lt;&gt;"")*(YEAR('LOG VẮNG'!$C$2:$C$1000)=2026)*(MONTH('LOG VẮNG'!$C$2:$C$1000)=11)*ISNUMBER(SEARCH($A39,'LOG VẮNG'!$D$2:$D$1000))))</f>
        <v/>
      </c>
      <c r="N39" s="40">
        <f>IF($B39="","",SUMPRODUCT(('LOG VẮNG'!$C$2:$C$1000&lt;&gt;"")*(YEAR('LOG VẮNG'!$C$2:$C$1000)=2026)*(MONTH('LOG VẮNG'!$C$2:$C$1000)=12)*ISNUMBER(SEARCH($A39,'LOG VẮNG'!$D$2:$D$1000))))</f>
        <v/>
      </c>
      <c r="O39" s="40">
        <f>IF($B39="","",SUM(C39:N39))</f>
        <v/>
      </c>
    </row>
    <row r="40">
      <c r="A40" s="40" t="inlineStr">
        <is>
          <t>ORI038</t>
        </is>
      </c>
      <c r="B40" s="46">
        <f>IFERROR(INDEX('HỌC VIÊN'!$B$4:$B$203,MATCH($A40,'HỌC VIÊN'!$A$4:$A$203,0)),"")</f>
        <v/>
      </c>
      <c r="C40" s="40">
        <f>IF($B40="","",SUMPRODUCT(('LOG VẮNG'!$C$2:$C$1000&lt;&gt;"")*(YEAR('LOG VẮNG'!$C$2:$C$1000)=2026)*(MONTH('LOG VẮNG'!$C$2:$C$1000)=1)*ISNUMBER(SEARCH($A40,'LOG VẮNG'!$D$2:$D$1000))))</f>
        <v/>
      </c>
      <c r="D40" s="40">
        <f>IF($B40="","",SUMPRODUCT(('LOG VẮNG'!$C$2:$C$1000&lt;&gt;"")*(YEAR('LOG VẮNG'!$C$2:$C$1000)=2026)*(MONTH('LOG VẮNG'!$C$2:$C$1000)=2)*ISNUMBER(SEARCH($A40,'LOG VẮNG'!$D$2:$D$1000))))</f>
        <v/>
      </c>
      <c r="E40" s="40">
        <f>IF($B40="","",SUMPRODUCT(('LOG VẮNG'!$C$2:$C$1000&lt;&gt;"")*(YEAR('LOG VẮNG'!$C$2:$C$1000)=2026)*(MONTH('LOG VẮNG'!$C$2:$C$1000)=3)*ISNUMBER(SEARCH($A40,'LOG VẮNG'!$D$2:$D$1000))))</f>
        <v/>
      </c>
      <c r="F40" s="40">
        <f>IF($B40="","",SUMPRODUCT(('LOG VẮNG'!$C$2:$C$1000&lt;&gt;"")*(YEAR('LOG VẮNG'!$C$2:$C$1000)=2026)*(MONTH('LOG VẮNG'!$C$2:$C$1000)=4)*ISNUMBER(SEARCH($A40,'LOG VẮNG'!$D$2:$D$1000))))</f>
        <v/>
      </c>
      <c r="G40" s="40">
        <f>IF($B40="","",SUMPRODUCT(('LOG VẮNG'!$C$2:$C$1000&lt;&gt;"")*(YEAR('LOG VẮNG'!$C$2:$C$1000)=2026)*(MONTH('LOG VẮNG'!$C$2:$C$1000)=5)*ISNUMBER(SEARCH($A40,'LOG VẮNG'!$D$2:$D$1000))))</f>
        <v/>
      </c>
      <c r="H40" s="40">
        <f>IF($B40="","",SUMPRODUCT(('LOG VẮNG'!$C$2:$C$1000&lt;&gt;"")*(YEAR('LOG VẮNG'!$C$2:$C$1000)=2026)*(MONTH('LOG VẮNG'!$C$2:$C$1000)=6)*ISNUMBER(SEARCH($A40,'LOG VẮNG'!$D$2:$D$1000))))</f>
        <v/>
      </c>
      <c r="I40" s="40">
        <f>IF($B40="","",SUMPRODUCT(('LOG VẮNG'!$C$2:$C$1000&lt;&gt;"")*(YEAR('LOG VẮNG'!$C$2:$C$1000)=2026)*(MONTH('LOG VẮNG'!$C$2:$C$1000)=7)*ISNUMBER(SEARCH($A40,'LOG VẮNG'!$D$2:$D$1000))))</f>
        <v/>
      </c>
      <c r="J40" s="40">
        <f>IF($B40="","",SUMPRODUCT(('LOG VẮNG'!$C$2:$C$1000&lt;&gt;"")*(YEAR('LOG VẮNG'!$C$2:$C$1000)=2026)*(MONTH('LOG VẮNG'!$C$2:$C$1000)=8)*ISNUMBER(SEARCH($A40,'LOG VẮNG'!$D$2:$D$1000))))</f>
        <v/>
      </c>
      <c r="K40" s="40">
        <f>IF($B40="","",SUMPRODUCT(('LOG VẮNG'!$C$2:$C$1000&lt;&gt;"")*(YEAR('LOG VẮNG'!$C$2:$C$1000)=2026)*(MONTH('LOG VẮNG'!$C$2:$C$1000)=9)*ISNUMBER(SEARCH($A40,'LOG VẮNG'!$D$2:$D$1000))))</f>
        <v/>
      </c>
      <c r="L40" s="40">
        <f>IF($B40="","",SUMPRODUCT(('LOG VẮNG'!$C$2:$C$1000&lt;&gt;"")*(YEAR('LOG VẮNG'!$C$2:$C$1000)=2026)*(MONTH('LOG VẮNG'!$C$2:$C$1000)=10)*ISNUMBER(SEARCH($A40,'LOG VẮNG'!$D$2:$D$1000))))</f>
        <v/>
      </c>
      <c r="M40" s="40">
        <f>IF($B40="","",SUMPRODUCT(('LOG VẮNG'!$C$2:$C$1000&lt;&gt;"")*(YEAR('LOG VẮNG'!$C$2:$C$1000)=2026)*(MONTH('LOG VẮNG'!$C$2:$C$1000)=11)*ISNUMBER(SEARCH($A40,'LOG VẮNG'!$D$2:$D$1000))))</f>
        <v/>
      </c>
      <c r="N40" s="40">
        <f>IF($B40="","",SUMPRODUCT(('LOG VẮNG'!$C$2:$C$1000&lt;&gt;"")*(YEAR('LOG VẮNG'!$C$2:$C$1000)=2026)*(MONTH('LOG VẮNG'!$C$2:$C$1000)=12)*ISNUMBER(SEARCH($A40,'LOG VẮNG'!$D$2:$D$1000))))</f>
        <v/>
      </c>
      <c r="O40" s="40">
        <f>IF($B40="","",SUM(C40:N40))</f>
        <v/>
      </c>
    </row>
    <row r="41">
      <c r="A41" s="40" t="inlineStr">
        <is>
          <t>ORI039</t>
        </is>
      </c>
      <c r="B41" s="46">
        <f>IFERROR(INDEX('HỌC VIÊN'!$B$4:$B$203,MATCH($A41,'HỌC VIÊN'!$A$4:$A$203,0)),"")</f>
        <v/>
      </c>
      <c r="C41" s="40">
        <f>IF($B41="","",SUMPRODUCT(('LOG VẮNG'!$C$2:$C$1000&lt;&gt;"")*(YEAR('LOG VẮNG'!$C$2:$C$1000)=2026)*(MONTH('LOG VẮNG'!$C$2:$C$1000)=1)*ISNUMBER(SEARCH($A41,'LOG VẮNG'!$D$2:$D$1000))))</f>
        <v/>
      </c>
      <c r="D41" s="40">
        <f>IF($B41="","",SUMPRODUCT(('LOG VẮNG'!$C$2:$C$1000&lt;&gt;"")*(YEAR('LOG VẮNG'!$C$2:$C$1000)=2026)*(MONTH('LOG VẮNG'!$C$2:$C$1000)=2)*ISNUMBER(SEARCH($A41,'LOG VẮNG'!$D$2:$D$1000))))</f>
        <v/>
      </c>
      <c r="E41" s="40">
        <f>IF($B41="","",SUMPRODUCT(('LOG VẮNG'!$C$2:$C$1000&lt;&gt;"")*(YEAR('LOG VẮNG'!$C$2:$C$1000)=2026)*(MONTH('LOG VẮNG'!$C$2:$C$1000)=3)*ISNUMBER(SEARCH($A41,'LOG VẮNG'!$D$2:$D$1000))))</f>
        <v/>
      </c>
      <c r="F41" s="40">
        <f>IF($B41="","",SUMPRODUCT(('LOG VẮNG'!$C$2:$C$1000&lt;&gt;"")*(YEAR('LOG VẮNG'!$C$2:$C$1000)=2026)*(MONTH('LOG VẮNG'!$C$2:$C$1000)=4)*ISNUMBER(SEARCH($A41,'LOG VẮNG'!$D$2:$D$1000))))</f>
        <v/>
      </c>
      <c r="G41" s="40">
        <f>IF($B41="","",SUMPRODUCT(('LOG VẮNG'!$C$2:$C$1000&lt;&gt;"")*(YEAR('LOG VẮNG'!$C$2:$C$1000)=2026)*(MONTH('LOG VẮNG'!$C$2:$C$1000)=5)*ISNUMBER(SEARCH($A41,'LOG VẮNG'!$D$2:$D$1000))))</f>
        <v/>
      </c>
      <c r="H41" s="40">
        <f>IF($B41="","",SUMPRODUCT(('LOG VẮNG'!$C$2:$C$1000&lt;&gt;"")*(YEAR('LOG VẮNG'!$C$2:$C$1000)=2026)*(MONTH('LOG VẮNG'!$C$2:$C$1000)=6)*ISNUMBER(SEARCH($A41,'LOG VẮNG'!$D$2:$D$1000))))</f>
        <v/>
      </c>
      <c r="I41" s="40">
        <f>IF($B41="","",SUMPRODUCT(('LOG VẮNG'!$C$2:$C$1000&lt;&gt;"")*(YEAR('LOG VẮNG'!$C$2:$C$1000)=2026)*(MONTH('LOG VẮNG'!$C$2:$C$1000)=7)*ISNUMBER(SEARCH($A41,'LOG VẮNG'!$D$2:$D$1000))))</f>
        <v/>
      </c>
      <c r="J41" s="40">
        <f>IF($B41="","",SUMPRODUCT(('LOG VẮNG'!$C$2:$C$1000&lt;&gt;"")*(YEAR('LOG VẮNG'!$C$2:$C$1000)=2026)*(MONTH('LOG VẮNG'!$C$2:$C$1000)=8)*ISNUMBER(SEARCH($A41,'LOG VẮNG'!$D$2:$D$1000))))</f>
        <v/>
      </c>
      <c r="K41" s="40">
        <f>IF($B41="","",SUMPRODUCT(('LOG VẮNG'!$C$2:$C$1000&lt;&gt;"")*(YEAR('LOG VẮNG'!$C$2:$C$1000)=2026)*(MONTH('LOG VẮNG'!$C$2:$C$1000)=9)*ISNUMBER(SEARCH($A41,'LOG VẮNG'!$D$2:$D$1000))))</f>
        <v/>
      </c>
      <c r="L41" s="40">
        <f>IF($B41="","",SUMPRODUCT(('LOG VẮNG'!$C$2:$C$1000&lt;&gt;"")*(YEAR('LOG VẮNG'!$C$2:$C$1000)=2026)*(MONTH('LOG VẮNG'!$C$2:$C$1000)=10)*ISNUMBER(SEARCH($A41,'LOG VẮNG'!$D$2:$D$1000))))</f>
        <v/>
      </c>
      <c r="M41" s="40">
        <f>IF($B41="","",SUMPRODUCT(('LOG VẮNG'!$C$2:$C$1000&lt;&gt;"")*(YEAR('LOG VẮNG'!$C$2:$C$1000)=2026)*(MONTH('LOG VẮNG'!$C$2:$C$1000)=11)*ISNUMBER(SEARCH($A41,'LOG VẮNG'!$D$2:$D$1000))))</f>
        <v/>
      </c>
      <c r="N41" s="40">
        <f>IF($B41="","",SUMPRODUCT(('LOG VẮNG'!$C$2:$C$1000&lt;&gt;"")*(YEAR('LOG VẮNG'!$C$2:$C$1000)=2026)*(MONTH('LOG VẮNG'!$C$2:$C$1000)=12)*ISNUMBER(SEARCH($A41,'LOG VẮNG'!$D$2:$D$1000))))</f>
        <v/>
      </c>
      <c r="O41" s="40">
        <f>IF($B41="","",SUM(C41:N41))</f>
        <v/>
      </c>
    </row>
    <row r="42">
      <c r="A42" s="40" t="inlineStr">
        <is>
          <t>ORI040</t>
        </is>
      </c>
      <c r="B42" s="46">
        <f>IFERROR(INDEX('HỌC VIÊN'!$B$4:$B$203,MATCH($A42,'HỌC VIÊN'!$A$4:$A$203,0)),"")</f>
        <v/>
      </c>
      <c r="C42" s="40">
        <f>IF($B42="","",SUMPRODUCT(('LOG VẮNG'!$C$2:$C$1000&lt;&gt;"")*(YEAR('LOG VẮNG'!$C$2:$C$1000)=2026)*(MONTH('LOG VẮNG'!$C$2:$C$1000)=1)*ISNUMBER(SEARCH($A42,'LOG VẮNG'!$D$2:$D$1000))))</f>
        <v/>
      </c>
      <c r="D42" s="40">
        <f>IF($B42="","",SUMPRODUCT(('LOG VẮNG'!$C$2:$C$1000&lt;&gt;"")*(YEAR('LOG VẮNG'!$C$2:$C$1000)=2026)*(MONTH('LOG VẮNG'!$C$2:$C$1000)=2)*ISNUMBER(SEARCH($A42,'LOG VẮNG'!$D$2:$D$1000))))</f>
        <v/>
      </c>
      <c r="E42" s="40">
        <f>IF($B42="","",SUMPRODUCT(('LOG VẮNG'!$C$2:$C$1000&lt;&gt;"")*(YEAR('LOG VẮNG'!$C$2:$C$1000)=2026)*(MONTH('LOG VẮNG'!$C$2:$C$1000)=3)*ISNUMBER(SEARCH($A42,'LOG VẮNG'!$D$2:$D$1000))))</f>
        <v/>
      </c>
      <c r="F42" s="40">
        <f>IF($B42="","",SUMPRODUCT(('LOG VẮNG'!$C$2:$C$1000&lt;&gt;"")*(YEAR('LOG VẮNG'!$C$2:$C$1000)=2026)*(MONTH('LOG VẮNG'!$C$2:$C$1000)=4)*ISNUMBER(SEARCH($A42,'LOG VẮNG'!$D$2:$D$1000))))</f>
        <v/>
      </c>
      <c r="G42" s="40">
        <f>IF($B42="","",SUMPRODUCT(('LOG VẮNG'!$C$2:$C$1000&lt;&gt;"")*(YEAR('LOG VẮNG'!$C$2:$C$1000)=2026)*(MONTH('LOG VẮNG'!$C$2:$C$1000)=5)*ISNUMBER(SEARCH($A42,'LOG VẮNG'!$D$2:$D$1000))))</f>
        <v/>
      </c>
      <c r="H42" s="40">
        <f>IF($B42="","",SUMPRODUCT(('LOG VẮNG'!$C$2:$C$1000&lt;&gt;"")*(YEAR('LOG VẮNG'!$C$2:$C$1000)=2026)*(MONTH('LOG VẮNG'!$C$2:$C$1000)=6)*ISNUMBER(SEARCH($A42,'LOG VẮNG'!$D$2:$D$1000))))</f>
        <v/>
      </c>
      <c r="I42" s="40">
        <f>IF($B42="","",SUMPRODUCT(('LOG VẮNG'!$C$2:$C$1000&lt;&gt;"")*(YEAR('LOG VẮNG'!$C$2:$C$1000)=2026)*(MONTH('LOG VẮNG'!$C$2:$C$1000)=7)*ISNUMBER(SEARCH($A42,'LOG VẮNG'!$D$2:$D$1000))))</f>
        <v/>
      </c>
      <c r="J42" s="40">
        <f>IF($B42="","",SUMPRODUCT(('LOG VẮNG'!$C$2:$C$1000&lt;&gt;"")*(YEAR('LOG VẮNG'!$C$2:$C$1000)=2026)*(MONTH('LOG VẮNG'!$C$2:$C$1000)=8)*ISNUMBER(SEARCH($A42,'LOG VẮNG'!$D$2:$D$1000))))</f>
        <v/>
      </c>
      <c r="K42" s="40">
        <f>IF($B42="","",SUMPRODUCT(('LOG VẮNG'!$C$2:$C$1000&lt;&gt;"")*(YEAR('LOG VẮNG'!$C$2:$C$1000)=2026)*(MONTH('LOG VẮNG'!$C$2:$C$1000)=9)*ISNUMBER(SEARCH($A42,'LOG VẮNG'!$D$2:$D$1000))))</f>
        <v/>
      </c>
      <c r="L42" s="40">
        <f>IF($B42="","",SUMPRODUCT(('LOG VẮNG'!$C$2:$C$1000&lt;&gt;"")*(YEAR('LOG VẮNG'!$C$2:$C$1000)=2026)*(MONTH('LOG VẮNG'!$C$2:$C$1000)=10)*ISNUMBER(SEARCH($A42,'LOG VẮNG'!$D$2:$D$1000))))</f>
        <v/>
      </c>
      <c r="M42" s="40">
        <f>IF($B42="","",SUMPRODUCT(('LOG VẮNG'!$C$2:$C$1000&lt;&gt;"")*(YEAR('LOG VẮNG'!$C$2:$C$1000)=2026)*(MONTH('LOG VẮNG'!$C$2:$C$1000)=11)*ISNUMBER(SEARCH($A42,'LOG VẮNG'!$D$2:$D$1000))))</f>
        <v/>
      </c>
      <c r="N42" s="40">
        <f>IF($B42="","",SUMPRODUCT(('LOG VẮNG'!$C$2:$C$1000&lt;&gt;"")*(YEAR('LOG VẮNG'!$C$2:$C$1000)=2026)*(MONTH('LOG VẮNG'!$C$2:$C$1000)=12)*ISNUMBER(SEARCH($A42,'LOG VẮNG'!$D$2:$D$1000))))</f>
        <v/>
      </c>
      <c r="O42" s="40">
        <f>IF($B42="","",SUM(C42:N42))</f>
        <v/>
      </c>
    </row>
    <row r="43">
      <c r="A43" s="40" t="inlineStr">
        <is>
          <t>ORI041</t>
        </is>
      </c>
      <c r="B43" s="46">
        <f>IFERROR(INDEX('HỌC VIÊN'!$B$4:$B$203,MATCH($A43,'HỌC VIÊN'!$A$4:$A$203,0)),"")</f>
        <v/>
      </c>
      <c r="C43" s="40">
        <f>IF($B43="","",SUMPRODUCT(('LOG VẮNG'!$C$2:$C$1000&lt;&gt;"")*(YEAR('LOG VẮNG'!$C$2:$C$1000)=2026)*(MONTH('LOG VẮNG'!$C$2:$C$1000)=1)*ISNUMBER(SEARCH($A43,'LOG VẮNG'!$D$2:$D$1000))))</f>
        <v/>
      </c>
      <c r="D43" s="40">
        <f>IF($B43="","",SUMPRODUCT(('LOG VẮNG'!$C$2:$C$1000&lt;&gt;"")*(YEAR('LOG VẮNG'!$C$2:$C$1000)=2026)*(MONTH('LOG VẮNG'!$C$2:$C$1000)=2)*ISNUMBER(SEARCH($A43,'LOG VẮNG'!$D$2:$D$1000))))</f>
        <v/>
      </c>
      <c r="E43" s="40">
        <f>IF($B43="","",SUMPRODUCT(('LOG VẮNG'!$C$2:$C$1000&lt;&gt;"")*(YEAR('LOG VẮNG'!$C$2:$C$1000)=2026)*(MONTH('LOG VẮNG'!$C$2:$C$1000)=3)*ISNUMBER(SEARCH($A43,'LOG VẮNG'!$D$2:$D$1000))))</f>
        <v/>
      </c>
      <c r="F43" s="40">
        <f>IF($B43="","",SUMPRODUCT(('LOG VẮNG'!$C$2:$C$1000&lt;&gt;"")*(YEAR('LOG VẮNG'!$C$2:$C$1000)=2026)*(MONTH('LOG VẮNG'!$C$2:$C$1000)=4)*ISNUMBER(SEARCH($A43,'LOG VẮNG'!$D$2:$D$1000))))</f>
        <v/>
      </c>
      <c r="G43" s="40">
        <f>IF($B43="","",SUMPRODUCT(('LOG VẮNG'!$C$2:$C$1000&lt;&gt;"")*(YEAR('LOG VẮNG'!$C$2:$C$1000)=2026)*(MONTH('LOG VẮNG'!$C$2:$C$1000)=5)*ISNUMBER(SEARCH($A43,'LOG VẮNG'!$D$2:$D$1000))))</f>
        <v/>
      </c>
      <c r="H43" s="40">
        <f>IF($B43="","",SUMPRODUCT(('LOG VẮNG'!$C$2:$C$1000&lt;&gt;"")*(YEAR('LOG VẮNG'!$C$2:$C$1000)=2026)*(MONTH('LOG VẮNG'!$C$2:$C$1000)=6)*ISNUMBER(SEARCH($A43,'LOG VẮNG'!$D$2:$D$1000))))</f>
        <v/>
      </c>
      <c r="I43" s="40">
        <f>IF($B43="","",SUMPRODUCT(('LOG VẮNG'!$C$2:$C$1000&lt;&gt;"")*(YEAR('LOG VẮNG'!$C$2:$C$1000)=2026)*(MONTH('LOG VẮNG'!$C$2:$C$1000)=7)*ISNUMBER(SEARCH($A43,'LOG VẮNG'!$D$2:$D$1000))))</f>
        <v/>
      </c>
      <c r="J43" s="40">
        <f>IF($B43="","",SUMPRODUCT(('LOG VẮNG'!$C$2:$C$1000&lt;&gt;"")*(YEAR('LOG VẮNG'!$C$2:$C$1000)=2026)*(MONTH('LOG VẮNG'!$C$2:$C$1000)=8)*ISNUMBER(SEARCH($A43,'LOG VẮNG'!$D$2:$D$1000))))</f>
        <v/>
      </c>
      <c r="K43" s="40">
        <f>IF($B43="","",SUMPRODUCT(('LOG VẮNG'!$C$2:$C$1000&lt;&gt;"")*(YEAR('LOG VẮNG'!$C$2:$C$1000)=2026)*(MONTH('LOG VẮNG'!$C$2:$C$1000)=9)*ISNUMBER(SEARCH($A43,'LOG VẮNG'!$D$2:$D$1000))))</f>
        <v/>
      </c>
      <c r="L43" s="40">
        <f>IF($B43="","",SUMPRODUCT(('LOG VẮNG'!$C$2:$C$1000&lt;&gt;"")*(YEAR('LOG VẮNG'!$C$2:$C$1000)=2026)*(MONTH('LOG VẮNG'!$C$2:$C$1000)=10)*ISNUMBER(SEARCH($A43,'LOG VẮNG'!$D$2:$D$1000))))</f>
        <v/>
      </c>
      <c r="M43" s="40">
        <f>IF($B43="","",SUMPRODUCT(('LOG VẮNG'!$C$2:$C$1000&lt;&gt;"")*(YEAR('LOG VẮNG'!$C$2:$C$1000)=2026)*(MONTH('LOG VẮNG'!$C$2:$C$1000)=11)*ISNUMBER(SEARCH($A43,'LOG VẮNG'!$D$2:$D$1000))))</f>
        <v/>
      </c>
      <c r="N43" s="40">
        <f>IF($B43="","",SUMPRODUCT(('LOG VẮNG'!$C$2:$C$1000&lt;&gt;"")*(YEAR('LOG VẮNG'!$C$2:$C$1000)=2026)*(MONTH('LOG VẮNG'!$C$2:$C$1000)=12)*ISNUMBER(SEARCH($A43,'LOG VẮNG'!$D$2:$D$1000))))</f>
        <v/>
      </c>
      <c r="O43" s="40">
        <f>IF($B43="","",SUM(C43:N43))</f>
        <v/>
      </c>
    </row>
    <row r="44">
      <c r="A44" s="40" t="inlineStr">
        <is>
          <t>ORI042</t>
        </is>
      </c>
      <c r="B44" s="46">
        <f>IFERROR(INDEX('HỌC VIÊN'!$B$4:$B$203,MATCH($A44,'HỌC VIÊN'!$A$4:$A$203,0)),"")</f>
        <v/>
      </c>
      <c r="C44" s="40">
        <f>IF($B44="","",SUMPRODUCT(('LOG VẮNG'!$C$2:$C$1000&lt;&gt;"")*(YEAR('LOG VẮNG'!$C$2:$C$1000)=2026)*(MONTH('LOG VẮNG'!$C$2:$C$1000)=1)*ISNUMBER(SEARCH($A44,'LOG VẮNG'!$D$2:$D$1000))))</f>
        <v/>
      </c>
      <c r="D44" s="40">
        <f>IF($B44="","",SUMPRODUCT(('LOG VẮNG'!$C$2:$C$1000&lt;&gt;"")*(YEAR('LOG VẮNG'!$C$2:$C$1000)=2026)*(MONTH('LOG VẮNG'!$C$2:$C$1000)=2)*ISNUMBER(SEARCH($A44,'LOG VẮNG'!$D$2:$D$1000))))</f>
        <v/>
      </c>
      <c r="E44" s="40">
        <f>IF($B44="","",SUMPRODUCT(('LOG VẮNG'!$C$2:$C$1000&lt;&gt;"")*(YEAR('LOG VẮNG'!$C$2:$C$1000)=2026)*(MONTH('LOG VẮNG'!$C$2:$C$1000)=3)*ISNUMBER(SEARCH($A44,'LOG VẮNG'!$D$2:$D$1000))))</f>
        <v/>
      </c>
      <c r="F44" s="40">
        <f>IF($B44="","",SUMPRODUCT(('LOG VẮNG'!$C$2:$C$1000&lt;&gt;"")*(YEAR('LOG VẮNG'!$C$2:$C$1000)=2026)*(MONTH('LOG VẮNG'!$C$2:$C$1000)=4)*ISNUMBER(SEARCH($A44,'LOG VẮNG'!$D$2:$D$1000))))</f>
        <v/>
      </c>
      <c r="G44" s="40">
        <f>IF($B44="","",SUMPRODUCT(('LOG VẮNG'!$C$2:$C$1000&lt;&gt;"")*(YEAR('LOG VẮNG'!$C$2:$C$1000)=2026)*(MONTH('LOG VẮNG'!$C$2:$C$1000)=5)*ISNUMBER(SEARCH($A44,'LOG VẮNG'!$D$2:$D$1000))))</f>
        <v/>
      </c>
      <c r="H44" s="40">
        <f>IF($B44="","",SUMPRODUCT(('LOG VẮNG'!$C$2:$C$1000&lt;&gt;"")*(YEAR('LOG VẮNG'!$C$2:$C$1000)=2026)*(MONTH('LOG VẮNG'!$C$2:$C$1000)=6)*ISNUMBER(SEARCH($A44,'LOG VẮNG'!$D$2:$D$1000))))</f>
        <v/>
      </c>
      <c r="I44" s="40">
        <f>IF($B44="","",SUMPRODUCT(('LOG VẮNG'!$C$2:$C$1000&lt;&gt;"")*(YEAR('LOG VẮNG'!$C$2:$C$1000)=2026)*(MONTH('LOG VẮNG'!$C$2:$C$1000)=7)*ISNUMBER(SEARCH($A44,'LOG VẮNG'!$D$2:$D$1000))))</f>
        <v/>
      </c>
      <c r="J44" s="40">
        <f>IF($B44="","",SUMPRODUCT(('LOG VẮNG'!$C$2:$C$1000&lt;&gt;"")*(YEAR('LOG VẮNG'!$C$2:$C$1000)=2026)*(MONTH('LOG VẮNG'!$C$2:$C$1000)=8)*ISNUMBER(SEARCH($A44,'LOG VẮNG'!$D$2:$D$1000))))</f>
        <v/>
      </c>
      <c r="K44" s="40">
        <f>IF($B44="","",SUMPRODUCT(('LOG VẮNG'!$C$2:$C$1000&lt;&gt;"")*(YEAR('LOG VẮNG'!$C$2:$C$1000)=2026)*(MONTH('LOG VẮNG'!$C$2:$C$1000)=9)*ISNUMBER(SEARCH($A44,'LOG VẮNG'!$D$2:$D$1000))))</f>
        <v/>
      </c>
      <c r="L44" s="40">
        <f>IF($B44="","",SUMPRODUCT(('LOG VẮNG'!$C$2:$C$1000&lt;&gt;"")*(YEAR('LOG VẮNG'!$C$2:$C$1000)=2026)*(MONTH('LOG VẮNG'!$C$2:$C$1000)=10)*ISNUMBER(SEARCH($A44,'LOG VẮNG'!$D$2:$D$1000))))</f>
        <v/>
      </c>
      <c r="M44" s="40">
        <f>IF($B44="","",SUMPRODUCT(('LOG VẮNG'!$C$2:$C$1000&lt;&gt;"")*(YEAR('LOG VẮNG'!$C$2:$C$1000)=2026)*(MONTH('LOG VẮNG'!$C$2:$C$1000)=11)*ISNUMBER(SEARCH($A44,'LOG VẮNG'!$D$2:$D$1000))))</f>
        <v/>
      </c>
      <c r="N44" s="40">
        <f>IF($B44="","",SUMPRODUCT(('LOG VẮNG'!$C$2:$C$1000&lt;&gt;"")*(YEAR('LOG VẮNG'!$C$2:$C$1000)=2026)*(MONTH('LOG VẮNG'!$C$2:$C$1000)=12)*ISNUMBER(SEARCH($A44,'LOG VẮNG'!$D$2:$D$1000))))</f>
        <v/>
      </c>
      <c r="O44" s="40">
        <f>IF($B44="","",SUM(C44:N44))</f>
        <v/>
      </c>
    </row>
    <row r="45">
      <c r="A45" s="40" t="inlineStr">
        <is>
          <t>ORI043</t>
        </is>
      </c>
      <c r="B45" s="46">
        <f>IFERROR(INDEX('HỌC VIÊN'!$B$4:$B$203,MATCH($A45,'HỌC VIÊN'!$A$4:$A$203,0)),"")</f>
        <v/>
      </c>
      <c r="C45" s="40">
        <f>IF($B45="","",SUMPRODUCT(('LOG VẮNG'!$C$2:$C$1000&lt;&gt;"")*(YEAR('LOG VẮNG'!$C$2:$C$1000)=2026)*(MONTH('LOG VẮNG'!$C$2:$C$1000)=1)*ISNUMBER(SEARCH($A45,'LOG VẮNG'!$D$2:$D$1000))))</f>
        <v/>
      </c>
      <c r="D45" s="40">
        <f>IF($B45="","",SUMPRODUCT(('LOG VẮNG'!$C$2:$C$1000&lt;&gt;"")*(YEAR('LOG VẮNG'!$C$2:$C$1000)=2026)*(MONTH('LOG VẮNG'!$C$2:$C$1000)=2)*ISNUMBER(SEARCH($A45,'LOG VẮNG'!$D$2:$D$1000))))</f>
        <v/>
      </c>
      <c r="E45" s="40">
        <f>IF($B45="","",SUMPRODUCT(('LOG VẮNG'!$C$2:$C$1000&lt;&gt;"")*(YEAR('LOG VẮNG'!$C$2:$C$1000)=2026)*(MONTH('LOG VẮNG'!$C$2:$C$1000)=3)*ISNUMBER(SEARCH($A45,'LOG VẮNG'!$D$2:$D$1000))))</f>
        <v/>
      </c>
      <c r="F45" s="40">
        <f>IF($B45="","",SUMPRODUCT(('LOG VẮNG'!$C$2:$C$1000&lt;&gt;"")*(YEAR('LOG VẮNG'!$C$2:$C$1000)=2026)*(MONTH('LOG VẮNG'!$C$2:$C$1000)=4)*ISNUMBER(SEARCH($A45,'LOG VẮNG'!$D$2:$D$1000))))</f>
        <v/>
      </c>
      <c r="G45" s="40">
        <f>IF($B45="","",SUMPRODUCT(('LOG VẮNG'!$C$2:$C$1000&lt;&gt;"")*(YEAR('LOG VẮNG'!$C$2:$C$1000)=2026)*(MONTH('LOG VẮNG'!$C$2:$C$1000)=5)*ISNUMBER(SEARCH($A45,'LOG VẮNG'!$D$2:$D$1000))))</f>
        <v/>
      </c>
      <c r="H45" s="40">
        <f>IF($B45="","",SUMPRODUCT(('LOG VẮNG'!$C$2:$C$1000&lt;&gt;"")*(YEAR('LOG VẮNG'!$C$2:$C$1000)=2026)*(MONTH('LOG VẮNG'!$C$2:$C$1000)=6)*ISNUMBER(SEARCH($A45,'LOG VẮNG'!$D$2:$D$1000))))</f>
        <v/>
      </c>
      <c r="I45" s="40">
        <f>IF($B45="","",SUMPRODUCT(('LOG VẮNG'!$C$2:$C$1000&lt;&gt;"")*(YEAR('LOG VẮNG'!$C$2:$C$1000)=2026)*(MONTH('LOG VẮNG'!$C$2:$C$1000)=7)*ISNUMBER(SEARCH($A45,'LOG VẮNG'!$D$2:$D$1000))))</f>
        <v/>
      </c>
      <c r="J45" s="40">
        <f>IF($B45="","",SUMPRODUCT(('LOG VẮNG'!$C$2:$C$1000&lt;&gt;"")*(YEAR('LOG VẮNG'!$C$2:$C$1000)=2026)*(MONTH('LOG VẮNG'!$C$2:$C$1000)=8)*ISNUMBER(SEARCH($A45,'LOG VẮNG'!$D$2:$D$1000))))</f>
        <v/>
      </c>
      <c r="K45" s="40">
        <f>IF($B45="","",SUMPRODUCT(('LOG VẮNG'!$C$2:$C$1000&lt;&gt;"")*(YEAR('LOG VẮNG'!$C$2:$C$1000)=2026)*(MONTH('LOG VẮNG'!$C$2:$C$1000)=9)*ISNUMBER(SEARCH($A45,'LOG VẮNG'!$D$2:$D$1000))))</f>
        <v/>
      </c>
      <c r="L45" s="40">
        <f>IF($B45="","",SUMPRODUCT(('LOG VẮNG'!$C$2:$C$1000&lt;&gt;"")*(YEAR('LOG VẮNG'!$C$2:$C$1000)=2026)*(MONTH('LOG VẮNG'!$C$2:$C$1000)=10)*ISNUMBER(SEARCH($A45,'LOG VẮNG'!$D$2:$D$1000))))</f>
        <v/>
      </c>
      <c r="M45" s="40">
        <f>IF($B45="","",SUMPRODUCT(('LOG VẮNG'!$C$2:$C$1000&lt;&gt;"")*(YEAR('LOG VẮNG'!$C$2:$C$1000)=2026)*(MONTH('LOG VẮNG'!$C$2:$C$1000)=11)*ISNUMBER(SEARCH($A45,'LOG VẮNG'!$D$2:$D$1000))))</f>
        <v/>
      </c>
      <c r="N45" s="40">
        <f>IF($B45="","",SUMPRODUCT(('LOG VẮNG'!$C$2:$C$1000&lt;&gt;"")*(YEAR('LOG VẮNG'!$C$2:$C$1000)=2026)*(MONTH('LOG VẮNG'!$C$2:$C$1000)=12)*ISNUMBER(SEARCH($A45,'LOG VẮNG'!$D$2:$D$1000))))</f>
        <v/>
      </c>
      <c r="O45" s="40">
        <f>IF($B45="","",SUM(C45:N45))</f>
        <v/>
      </c>
    </row>
    <row r="46">
      <c r="A46" s="40" t="inlineStr">
        <is>
          <t>ORI044</t>
        </is>
      </c>
      <c r="B46" s="46">
        <f>IFERROR(INDEX('HỌC VIÊN'!$B$4:$B$203,MATCH($A46,'HỌC VIÊN'!$A$4:$A$203,0)),"")</f>
        <v/>
      </c>
      <c r="C46" s="40">
        <f>IF($B46="","",SUMPRODUCT(('LOG VẮNG'!$C$2:$C$1000&lt;&gt;"")*(YEAR('LOG VẮNG'!$C$2:$C$1000)=2026)*(MONTH('LOG VẮNG'!$C$2:$C$1000)=1)*ISNUMBER(SEARCH($A46,'LOG VẮNG'!$D$2:$D$1000))))</f>
        <v/>
      </c>
      <c r="D46" s="40">
        <f>IF($B46="","",SUMPRODUCT(('LOG VẮNG'!$C$2:$C$1000&lt;&gt;"")*(YEAR('LOG VẮNG'!$C$2:$C$1000)=2026)*(MONTH('LOG VẮNG'!$C$2:$C$1000)=2)*ISNUMBER(SEARCH($A46,'LOG VẮNG'!$D$2:$D$1000))))</f>
        <v/>
      </c>
      <c r="E46" s="40">
        <f>IF($B46="","",SUMPRODUCT(('LOG VẮNG'!$C$2:$C$1000&lt;&gt;"")*(YEAR('LOG VẮNG'!$C$2:$C$1000)=2026)*(MONTH('LOG VẮNG'!$C$2:$C$1000)=3)*ISNUMBER(SEARCH($A46,'LOG VẮNG'!$D$2:$D$1000))))</f>
        <v/>
      </c>
      <c r="F46" s="40">
        <f>IF($B46="","",SUMPRODUCT(('LOG VẮNG'!$C$2:$C$1000&lt;&gt;"")*(YEAR('LOG VẮNG'!$C$2:$C$1000)=2026)*(MONTH('LOG VẮNG'!$C$2:$C$1000)=4)*ISNUMBER(SEARCH($A46,'LOG VẮNG'!$D$2:$D$1000))))</f>
        <v/>
      </c>
      <c r="G46" s="40">
        <f>IF($B46="","",SUMPRODUCT(('LOG VẮNG'!$C$2:$C$1000&lt;&gt;"")*(YEAR('LOG VẮNG'!$C$2:$C$1000)=2026)*(MONTH('LOG VẮNG'!$C$2:$C$1000)=5)*ISNUMBER(SEARCH($A46,'LOG VẮNG'!$D$2:$D$1000))))</f>
        <v/>
      </c>
      <c r="H46" s="40">
        <f>IF($B46="","",SUMPRODUCT(('LOG VẮNG'!$C$2:$C$1000&lt;&gt;"")*(YEAR('LOG VẮNG'!$C$2:$C$1000)=2026)*(MONTH('LOG VẮNG'!$C$2:$C$1000)=6)*ISNUMBER(SEARCH($A46,'LOG VẮNG'!$D$2:$D$1000))))</f>
        <v/>
      </c>
      <c r="I46" s="40">
        <f>IF($B46="","",SUMPRODUCT(('LOG VẮNG'!$C$2:$C$1000&lt;&gt;"")*(YEAR('LOG VẮNG'!$C$2:$C$1000)=2026)*(MONTH('LOG VẮNG'!$C$2:$C$1000)=7)*ISNUMBER(SEARCH($A46,'LOG VẮNG'!$D$2:$D$1000))))</f>
        <v/>
      </c>
      <c r="J46" s="40">
        <f>IF($B46="","",SUMPRODUCT(('LOG VẮNG'!$C$2:$C$1000&lt;&gt;"")*(YEAR('LOG VẮNG'!$C$2:$C$1000)=2026)*(MONTH('LOG VẮNG'!$C$2:$C$1000)=8)*ISNUMBER(SEARCH($A46,'LOG VẮNG'!$D$2:$D$1000))))</f>
        <v/>
      </c>
      <c r="K46" s="40">
        <f>IF($B46="","",SUMPRODUCT(('LOG VẮNG'!$C$2:$C$1000&lt;&gt;"")*(YEAR('LOG VẮNG'!$C$2:$C$1000)=2026)*(MONTH('LOG VẮNG'!$C$2:$C$1000)=9)*ISNUMBER(SEARCH($A46,'LOG VẮNG'!$D$2:$D$1000))))</f>
        <v/>
      </c>
      <c r="L46" s="40">
        <f>IF($B46="","",SUMPRODUCT(('LOG VẮNG'!$C$2:$C$1000&lt;&gt;"")*(YEAR('LOG VẮNG'!$C$2:$C$1000)=2026)*(MONTH('LOG VẮNG'!$C$2:$C$1000)=10)*ISNUMBER(SEARCH($A46,'LOG VẮNG'!$D$2:$D$1000))))</f>
        <v/>
      </c>
      <c r="M46" s="40">
        <f>IF($B46="","",SUMPRODUCT(('LOG VẮNG'!$C$2:$C$1000&lt;&gt;"")*(YEAR('LOG VẮNG'!$C$2:$C$1000)=2026)*(MONTH('LOG VẮNG'!$C$2:$C$1000)=11)*ISNUMBER(SEARCH($A46,'LOG VẮNG'!$D$2:$D$1000))))</f>
        <v/>
      </c>
      <c r="N46" s="40">
        <f>IF($B46="","",SUMPRODUCT(('LOG VẮNG'!$C$2:$C$1000&lt;&gt;"")*(YEAR('LOG VẮNG'!$C$2:$C$1000)=2026)*(MONTH('LOG VẮNG'!$C$2:$C$1000)=12)*ISNUMBER(SEARCH($A46,'LOG VẮNG'!$D$2:$D$1000))))</f>
        <v/>
      </c>
      <c r="O46" s="40">
        <f>IF($B46="","",SUM(C46:N46))</f>
        <v/>
      </c>
    </row>
    <row r="47">
      <c r="A47" s="40" t="inlineStr">
        <is>
          <t>ORI045</t>
        </is>
      </c>
      <c r="B47" s="46">
        <f>IFERROR(INDEX('HỌC VIÊN'!$B$4:$B$203,MATCH($A47,'HỌC VIÊN'!$A$4:$A$203,0)),"")</f>
        <v/>
      </c>
      <c r="C47" s="40">
        <f>IF($B47="","",SUMPRODUCT(('LOG VẮNG'!$C$2:$C$1000&lt;&gt;"")*(YEAR('LOG VẮNG'!$C$2:$C$1000)=2026)*(MONTH('LOG VẮNG'!$C$2:$C$1000)=1)*ISNUMBER(SEARCH($A47,'LOG VẮNG'!$D$2:$D$1000))))</f>
        <v/>
      </c>
      <c r="D47" s="40">
        <f>IF($B47="","",SUMPRODUCT(('LOG VẮNG'!$C$2:$C$1000&lt;&gt;"")*(YEAR('LOG VẮNG'!$C$2:$C$1000)=2026)*(MONTH('LOG VẮNG'!$C$2:$C$1000)=2)*ISNUMBER(SEARCH($A47,'LOG VẮNG'!$D$2:$D$1000))))</f>
        <v/>
      </c>
      <c r="E47" s="40">
        <f>IF($B47="","",SUMPRODUCT(('LOG VẮNG'!$C$2:$C$1000&lt;&gt;"")*(YEAR('LOG VẮNG'!$C$2:$C$1000)=2026)*(MONTH('LOG VẮNG'!$C$2:$C$1000)=3)*ISNUMBER(SEARCH($A47,'LOG VẮNG'!$D$2:$D$1000))))</f>
        <v/>
      </c>
      <c r="F47" s="40">
        <f>IF($B47="","",SUMPRODUCT(('LOG VẮNG'!$C$2:$C$1000&lt;&gt;"")*(YEAR('LOG VẮNG'!$C$2:$C$1000)=2026)*(MONTH('LOG VẮNG'!$C$2:$C$1000)=4)*ISNUMBER(SEARCH($A47,'LOG VẮNG'!$D$2:$D$1000))))</f>
        <v/>
      </c>
      <c r="G47" s="40">
        <f>IF($B47="","",SUMPRODUCT(('LOG VẮNG'!$C$2:$C$1000&lt;&gt;"")*(YEAR('LOG VẮNG'!$C$2:$C$1000)=2026)*(MONTH('LOG VẮNG'!$C$2:$C$1000)=5)*ISNUMBER(SEARCH($A47,'LOG VẮNG'!$D$2:$D$1000))))</f>
        <v/>
      </c>
      <c r="H47" s="40">
        <f>IF($B47="","",SUMPRODUCT(('LOG VẮNG'!$C$2:$C$1000&lt;&gt;"")*(YEAR('LOG VẮNG'!$C$2:$C$1000)=2026)*(MONTH('LOG VẮNG'!$C$2:$C$1000)=6)*ISNUMBER(SEARCH($A47,'LOG VẮNG'!$D$2:$D$1000))))</f>
        <v/>
      </c>
      <c r="I47" s="40">
        <f>IF($B47="","",SUMPRODUCT(('LOG VẮNG'!$C$2:$C$1000&lt;&gt;"")*(YEAR('LOG VẮNG'!$C$2:$C$1000)=2026)*(MONTH('LOG VẮNG'!$C$2:$C$1000)=7)*ISNUMBER(SEARCH($A47,'LOG VẮNG'!$D$2:$D$1000))))</f>
        <v/>
      </c>
      <c r="J47" s="40">
        <f>IF($B47="","",SUMPRODUCT(('LOG VẮNG'!$C$2:$C$1000&lt;&gt;"")*(YEAR('LOG VẮNG'!$C$2:$C$1000)=2026)*(MONTH('LOG VẮNG'!$C$2:$C$1000)=8)*ISNUMBER(SEARCH($A47,'LOG VẮNG'!$D$2:$D$1000))))</f>
        <v/>
      </c>
      <c r="K47" s="40">
        <f>IF($B47="","",SUMPRODUCT(('LOG VẮNG'!$C$2:$C$1000&lt;&gt;"")*(YEAR('LOG VẮNG'!$C$2:$C$1000)=2026)*(MONTH('LOG VẮNG'!$C$2:$C$1000)=9)*ISNUMBER(SEARCH($A47,'LOG VẮNG'!$D$2:$D$1000))))</f>
        <v/>
      </c>
      <c r="L47" s="40">
        <f>IF($B47="","",SUMPRODUCT(('LOG VẮNG'!$C$2:$C$1000&lt;&gt;"")*(YEAR('LOG VẮNG'!$C$2:$C$1000)=2026)*(MONTH('LOG VẮNG'!$C$2:$C$1000)=10)*ISNUMBER(SEARCH($A47,'LOG VẮNG'!$D$2:$D$1000))))</f>
        <v/>
      </c>
      <c r="M47" s="40">
        <f>IF($B47="","",SUMPRODUCT(('LOG VẮNG'!$C$2:$C$1000&lt;&gt;"")*(YEAR('LOG VẮNG'!$C$2:$C$1000)=2026)*(MONTH('LOG VẮNG'!$C$2:$C$1000)=11)*ISNUMBER(SEARCH($A47,'LOG VẮNG'!$D$2:$D$1000))))</f>
        <v/>
      </c>
      <c r="N47" s="40">
        <f>IF($B47="","",SUMPRODUCT(('LOG VẮNG'!$C$2:$C$1000&lt;&gt;"")*(YEAR('LOG VẮNG'!$C$2:$C$1000)=2026)*(MONTH('LOG VẮNG'!$C$2:$C$1000)=12)*ISNUMBER(SEARCH($A47,'LOG VẮNG'!$D$2:$D$1000))))</f>
        <v/>
      </c>
      <c r="O47" s="40">
        <f>IF($B47="","",SUM(C47:N47))</f>
        <v/>
      </c>
    </row>
    <row r="48">
      <c r="A48" s="40" t="inlineStr">
        <is>
          <t>ORI046</t>
        </is>
      </c>
      <c r="B48" s="46">
        <f>IFERROR(INDEX('HỌC VIÊN'!$B$4:$B$203,MATCH($A48,'HỌC VIÊN'!$A$4:$A$203,0)),"")</f>
        <v/>
      </c>
      <c r="C48" s="40">
        <f>IF($B48="","",SUMPRODUCT(('LOG VẮNG'!$C$2:$C$1000&lt;&gt;"")*(YEAR('LOG VẮNG'!$C$2:$C$1000)=2026)*(MONTH('LOG VẮNG'!$C$2:$C$1000)=1)*ISNUMBER(SEARCH($A48,'LOG VẮNG'!$D$2:$D$1000))))</f>
        <v/>
      </c>
      <c r="D48" s="40">
        <f>IF($B48="","",SUMPRODUCT(('LOG VẮNG'!$C$2:$C$1000&lt;&gt;"")*(YEAR('LOG VẮNG'!$C$2:$C$1000)=2026)*(MONTH('LOG VẮNG'!$C$2:$C$1000)=2)*ISNUMBER(SEARCH($A48,'LOG VẮNG'!$D$2:$D$1000))))</f>
        <v/>
      </c>
      <c r="E48" s="40">
        <f>IF($B48="","",SUMPRODUCT(('LOG VẮNG'!$C$2:$C$1000&lt;&gt;"")*(YEAR('LOG VẮNG'!$C$2:$C$1000)=2026)*(MONTH('LOG VẮNG'!$C$2:$C$1000)=3)*ISNUMBER(SEARCH($A48,'LOG VẮNG'!$D$2:$D$1000))))</f>
        <v/>
      </c>
      <c r="F48" s="40">
        <f>IF($B48="","",SUMPRODUCT(('LOG VẮNG'!$C$2:$C$1000&lt;&gt;"")*(YEAR('LOG VẮNG'!$C$2:$C$1000)=2026)*(MONTH('LOG VẮNG'!$C$2:$C$1000)=4)*ISNUMBER(SEARCH($A48,'LOG VẮNG'!$D$2:$D$1000))))</f>
        <v/>
      </c>
      <c r="G48" s="40">
        <f>IF($B48="","",SUMPRODUCT(('LOG VẮNG'!$C$2:$C$1000&lt;&gt;"")*(YEAR('LOG VẮNG'!$C$2:$C$1000)=2026)*(MONTH('LOG VẮNG'!$C$2:$C$1000)=5)*ISNUMBER(SEARCH($A48,'LOG VẮNG'!$D$2:$D$1000))))</f>
        <v/>
      </c>
      <c r="H48" s="40">
        <f>IF($B48="","",SUMPRODUCT(('LOG VẮNG'!$C$2:$C$1000&lt;&gt;"")*(YEAR('LOG VẮNG'!$C$2:$C$1000)=2026)*(MONTH('LOG VẮNG'!$C$2:$C$1000)=6)*ISNUMBER(SEARCH($A48,'LOG VẮNG'!$D$2:$D$1000))))</f>
        <v/>
      </c>
      <c r="I48" s="40">
        <f>IF($B48="","",SUMPRODUCT(('LOG VẮNG'!$C$2:$C$1000&lt;&gt;"")*(YEAR('LOG VẮNG'!$C$2:$C$1000)=2026)*(MONTH('LOG VẮNG'!$C$2:$C$1000)=7)*ISNUMBER(SEARCH($A48,'LOG VẮNG'!$D$2:$D$1000))))</f>
        <v/>
      </c>
      <c r="J48" s="40">
        <f>IF($B48="","",SUMPRODUCT(('LOG VẮNG'!$C$2:$C$1000&lt;&gt;"")*(YEAR('LOG VẮNG'!$C$2:$C$1000)=2026)*(MONTH('LOG VẮNG'!$C$2:$C$1000)=8)*ISNUMBER(SEARCH($A48,'LOG VẮNG'!$D$2:$D$1000))))</f>
        <v/>
      </c>
      <c r="K48" s="40">
        <f>IF($B48="","",SUMPRODUCT(('LOG VẮNG'!$C$2:$C$1000&lt;&gt;"")*(YEAR('LOG VẮNG'!$C$2:$C$1000)=2026)*(MONTH('LOG VẮNG'!$C$2:$C$1000)=9)*ISNUMBER(SEARCH($A48,'LOG VẮNG'!$D$2:$D$1000))))</f>
        <v/>
      </c>
      <c r="L48" s="40">
        <f>IF($B48="","",SUMPRODUCT(('LOG VẮNG'!$C$2:$C$1000&lt;&gt;"")*(YEAR('LOG VẮNG'!$C$2:$C$1000)=2026)*(MONTH('LOG VẮNG'!$C$2:$C$1000)=10)*ISNUMBER(SEARCH($A48,'LOG VẮNG'!$D$2:$D$1000))))</f>
        <v/>
      </c>
      <c r="M48" s="40">
        <f>IF($B48="","",SUMPRODUCT(('LOG VẮNG'!$C$2:$C$1000&lt;&gt;"")*(YEAR('LOG VẮNG'!$C$2:$C$1000)=2026)*(MONTH('LOG VẮNG'!$C$2:$C$1000)=11)*ISNUMBER(SEARCH($A48,'LOG VẮNG'!$D$2:$D$1000))))</f>
        <v/>
      </c>
      <c r="N48" s="40">
        <f>IF($B48="","",SUMPRODUCT(('LOG VẮNG'!$C$2:$C$1000&lt;&gt;"")*(YEAR('LOG VẮNG'!$C$2:$C$1000)=2026)*(MONTH('LOG VẮNG'!$C$2:$C$1000)=12)*ISNUMBER(SEARCH($A48,'LOG VẮNG'!$D$2:$D$1000))))</f>
        <v/>
      </c>
      <c r="O48" s="40">
        <f>IF($B48="","",SUM(C48:N48))</f>
        <v/>
      </c>
    </row>
    <row r="49">
      <c r="A49" s="40" t="inlineStr">
        <is>
          <t>ORI047</t>
        </is>
      </c>
      <c r="B49" s="46">
        <f>IFERROR(INDEX('HỌC VIÊN'!$B$4:$B$203,MATCH($A49,'HỌC VIÊN'!$A$4:$A$203,0)),"")</f>
        <v/>
      </c>
      <c r="C49" s="40">
        <f>IF($B49="","",SUMPRODUCT(('LOG VẮNG'!$C$2:$C$1000&lt;&gt;"")*(YEAR('LOG VẮNG'!$C$2:$C$1000)=2026)*(MONTH('LOG VẮNG'!$C$2:$C$1000)=1)*ISNUMBER(SEARCH($A49,'LOG VẮNG'!$D$2:$D$1000))))</f>
        <v/>
      </c>
      <c r="D49" s="40">
        <f>IF($B49="","",SUMPRODUCT(('LOG VẮNG'!$C$2:$C$1000&lt;&gt;"")*(YEAR('LOG VẮNG'!$C$2:$C$1000)=2026)*(MONTH('LOG VẮNG'!$C$2:$C$1000)=2)*ISNUMBER(SEARCH($A49,'LOG VẮNG'!$D$2:$D$1000))))</f>
        <v/>
      </c>
      <c r="E49" s="40">
        <f>IF($B49="","",SUMPRODUCT(('LOG VẮNG'!$C$2:$C$1000&lt;&gt;"")*(YEAR('LOG VẮNG'!$C$2:$C$1000)=2026)*(MONTH('LOG VẮNG'!$C$2:$C$1000)=3)*ISNUMBER(SEARCH($A49,'LOG VẮNG'!$D$2:$D$1000))))</f>
        <v/>
      </c>
      <c r="F49" s="40">
        <f>IF($B49="","",SUMPRODUCT(('LOG VẮNG'!$C$2:$C$1000&lt;&gt;"")*(YEAR('LOG VẮNG'!$C$2:$C$1000)=2026)*(MONTH('LOG VẮNG'!$C$2:$C$1000)=4)*ISNUMBER(SEARCH($A49,'LOG VẮNG'!$D$2:$D$1000))))</f>
        <v/>
      </c>
      <c r="G49" s="40">
        <f>IF($B49="","",SUMPRODUCT(('LOG VẮNG'!$C$2:$C$1000&lt;&gt;"")*(YEAR('LOG VẮNG'!$C$2:$C$1000)=2026)*(MONTH('LOG VẮNG'!$C$2:$C$1000)=5)*ISNUMBER(SEARCH($A49,'LOG VẮNG'!$D$2:$D$1000))))</f>
        <v/>
      </c>
      <c r="H49" s="40">
        <f>IF($B49="","",SUMPRODUCT(('LOG VẮNG'!$C$2:$C$1000&lt;&gt;"")*(YEAR('LOG VẮNG'!$C$2:$C$1000)=2026)*(MONTH('LOG VẮNG'!$C$2:$C$1000)=6)*ISNUMBER(SEARCH($A49,'LOG VẮNG'!$D$2:$D$1000))))</f>
        <v/>
      </c>
      <c r="I49" s="40">
        <f>IF($B49="","",SUMPRODUCT(('LOG VẮNG'!$C$2:$C$1000&lt;&gt;"")*(YEAR('LOG VẮNG'!$C$2:$C$1000)=2026)*(MONTH('LOG VẮNG'!$C$2:$C$1000)=7)*ISNUMBER(SEARCH($A49,'LOG VẮNG'!$D$2:$D$1000))))</f>
        <v/>
      </c>
      <c r="J49" s="40">
        <f>IF($B49="","",SUMPRODUCT(('LOG VẮNG'!$C$2:$C$1000&lt;&gt;"")*(YEAR('LOG VẮNG'!$C$2:$C$1000)=2026)*(MONTH('LOG VẮNG'!$C$2:$C$1000)=8)*ISNUMBER(SEARCH($A49,'LOG VẮNG'!$D$2:$D$1000))))</f>
        <v/>
      </c>
      <c r="K49" s="40">
        <f>IF($B49="","",SUMPRODUCT(('LOG VẮNG'!$C$2:$C$1000&lt;&gt;"")*(YEAR('LOG VẮNG'!$C$2:$C$1000)=2026)*(MONTH('LOG VẮNG'!$C$2:$C$1000)=9)*ISNUMBER(SEARCH($A49,'LOG VẮNG'!$D$2:$D$1000))))</f>
        <v/>
      </c>
      <c r="L49" s="40">
        <f>IF($B49="","",SUMPRODUCT(('LOG VẮNG'!$C$2:$C$1000&lt;&gt;"")*(YEAR('LOG VẮNG'!$C$2:$C$1000)=2026)*(MONTH('LOG VẮNG'!$C$2:$C$1000)=10)*ISNUMBER(SEARCH($A49,'LOG VẮNG'!$D$2:$D$1000))))</f>
        <v/>
      </c>
      <c r="M49" s="40">
        <f>IF($B49="","",SUMPRODUCT(('LOG VẮNG'!$C$2:$C$1000&lt;&gt;"")*(YEAR('LOG VẮNG'!$C$2:$C$1000)=2026)*(MONTH('LOG VẮNG'!$C$2:$C$1000)=11)*ISNUMBER(SEARCH($A49,'LOG VẮNG'!$D$2:$D$1000))))</f>
        <v/>
      </c>
      <c r="N49" s="40">
        <f>IF($B49="","",SUMPRODUCT(('LOG VẮNG'!$C$2:$C$1000&lt;&gt;"")*(YEAR('LOG VẮNG'!$C$2:$C$1000)=2026)*(MONTH('LOG VẮNG'!$C$2:$C$1000)=12)*ISNUMBER(SEARCH($A49,'LOG VẮNG'!$D$2:$D$1000))))</f>
        <v/>
      </c>
      <c r="O49" s="40">
        <f>IF($B49="","",SUM(C49:N49))</f>
        <v/>
      </c>
    </row>
    <row r="50">
      <c r="A50" s="40" t="inlineStr">
        <is>
          <t>ORI048</t>
        </is>
      </c>
      <c r="B50" s="46">
        <f>IFERROR(INDEX('HỌC VIÊN'!$B$4:$B$203,MATCH($A50,'HỌC VIÊN'!$A$4:$A$203,0)),"")</f>
        <v/>
      </c>
      <c r="C50" s="40">
        <f>IF($B50="","",SUMPRODUCT(('LOG VẮNG'!$C$2:$C$1000&lt;&gt;"")*(YEAR('LOG VẮNG'!$C$2:$C$1000)=2026)*(MONTH('LOG VẮNG'!$C$2:$C$1000)=1)*ISNUMBER(SEARCH($A50,'LOG VẮNG'!$D$2:$D$1000))))</f>
        <v/>
      </c>
      <c r="D50" s="40">
        <f>IF($B50="","",SUMPRODUCT(('LOG VẮNG'!$C$2:$C$1000&lt;&gt;"")*(YEAR('LOG VẮNG'!$C$2:$C$1000)=2026)*(MONTH('LOG VẮNG'!$C$2:$C$1000)=2)*ISNUMBER(SEARCH($A50,'LOG VẮNG'!$D$2:$D$1000))))</f>
        <v/>
      </c>
      <c r="E50" s="40">
        <f>IF($B50="","",SUMPRODUCT(('LOG VẮNG'!$C$2:$C$1000&lt;&gt;"")*(YEAR('LOG VẮNG'!$C$2:$C$1000)=2026)*(MONTH('LOG VẮNG'!$C$2:$C$1000)=3)*ISNUMBER(SEARCH($A50,'LOG VẮNG'!$D$2:$D$1000))))</f>
        <v/>
      </c>
      <c r="F50" s="40">
        <f>IF($B50="","",SUMPRODUCT(('LOG VẮNG'!$C$2:$C$1000&lt;&gt;"")*(YEAR('LOG VẮNG'!$C$2:$C$1000)=2026)*(MONTH('LOG VẮNG'!$C$2:$C$1000)=4)*ISNUMBER(SEARCH($A50,'LOG VẮNG'!$D$2:$D$1000))))</f>
        <v/>
      </c>
      <c r="G50" s="40">
        <f>IF($B50="","",SUMPRODUCT(('LOG VẮNG'!$C$2:$C$1000&lt;&gt;"")*(YEAR('LOG VẮNG'!$C$2:$C$1000)=2026)*(MONTH('LOG VẮNG'!$C$2:$C$1000)=5)*ISNUMBER(SEARCH($A50,'LOG VẮNG'!$D$2:$D$1000))))</f>
        <v/>
      </c>
      <c r="H50" s="40">
        <f>IF($B50="","",SUMPRODUCT(('LOG VẮNG'!$C$2:$C$1000&lt;&gt;"")*(YEAR('LOG VẮNG'!$C$2:$C$1000)=2026)*(MONTH('LOG VẮNG'!$C$2:$C$1000)=6)*ISNUMBER(SEARCH($A50,'LOG VẮNG'!$D$2:$D$1000))))</f>
        <v/>
      </c>
      <c r="I50" s="40">
        <f>IF($B50="","",SUMPRODUCT(('LOG VẮNG'!$C$2:$C$1000&lt;&gt;"")*(YEAR('LOG VẮNG'!$C$2:$C$1000)=2026)*(MONTH('LOG VẮNG'!$C$2:$C$1000)=7)*ISNUMBER(SEARCH($A50,'LOG VẮNG'!$D$2:$D$1000))))</f>
        <v/>
      </c>
      <c r="J50" s="40">
        <f>IF($B50="","",SUMPRODUCT(('LOG VẮNG'!$C$2:$C$1000&lt;&gt;"")*(YEAR('LOG VẮNG'!$C$2:$C$1000)=2026)*(MONTH('LOG VẮNG'!$C$2:$C$1000)=8)*ISNUMBER(SEARCH($A50,'LOG VẮNG'!$D$2:$D$1000))))</f>
        <v/>
      </c>
      <c r="K50" s="40">
        <f>IF($B50="","",SUMPRODUCT(('LOG VẮNG'!$C$2:$C$1000&lt;&gt;"")*(YEAR('LOG VẮNG'!$C$2:$C$1000)=2026)*(MONTH('LOG VẮNG'!$C$2:$C$1000)=9)*ISNUMBER(SEARCH($A50,'LOG VẮNG'!$D$2:$D$1000))))</f>
        <v/>
      </c>
      <c r="L50" s="40">
        <f>IF($B50="","",SUMPRODUCT(('LOG VẮNG'!$C$2:$C$1000&lt;&gt;"")*(YEAR('LOG VẮNG'!$C$2:$C$1000)=2026)*(MONTH('LOG VẮNG'!$C$2:$C$1000)=10)*ISNUMBER(SEARCH($A50,'LOG VẮNG'!$D$2:$D$1000))))</f>
        <v/>
      </c>
      <c r="M50" s="40">
        <f>IF($B50="","",SUMPRODUCT(('LOG VẮNG'!$C$2:$C$1000&lt;&gt;"")*(YEAR('LOG VẮNG'!$C$2:$C$1000)=2026)*(MONTH('LOG VẮNG'!$C$2:$C$1000)=11)*ISNUMBER(SEARCH($A50,'LOG VẮNG'!$D$2:$D$1000))))</f>
        <v/>
      </c>
      <c r="N50" s="40">
        <f>IF($B50="","",SUMPRODUCT(('LOG VẮNG'!$C$2:$C$1000&lt;&gt;"")*(YEAR('LOG VẮNG'!$C$2:$C$1000)=2026)*(MONTH('LOG VẮNG'!$C$2:$C$1000)=12)*ISNUMBER(SEARCH($A50,'LOG VẮNG'!$D$2:$D$1000))))</f>
        <v/>
      </c>
      <c r="O50" s="40">
        <f>IF($B50="","",SUM(C50:N50))</f>
        <v/>
      </c>
    </row>
    <row r="51">
      <c r="A51" s="40" t="inlineStr">
        <is>
          <t>ORI049</t>
        </is>
      </c>
      <c r="B51" s="46">
        <f>IFERROR(INDEX('HỌC VIÊN'!$B$4:$B$203,MATCH($A51,'HỌC VIÊN'!$A$4:$A$203,0)),"")</f>
        <v/>
      </c>
      <c r="C51" s="40">
        <f>IF($B51="","",SUMPRODUCT(('LOG VẮNG'!$C$2:$C$1000&lt;&gt;"")*(YEAR('LOG VẮNG'!$C$2:$C$1000)=2026)*(MONTH('LOG VẮNG'!$C$2:$C$1000)=1)*ISNUMBER(SEARCH($A51,'LOG VẮNG'!$D$2:$D$1000))))</f>
        <v/>
      </c>
      <c r="D51" s="40">
        <f>IF($B51="","",SUMPRODUCT(('LOG VẮNG'!$C$2:$C$1000&lt;&gt;"")*(YEAR('LOG VẮNG'!$C$2:$C$1000)=2026)*(MONTH('LOG VẮNG'!$C$2:$C$1000)=2)*ISNUMBER(SEARCH($A51,'LOG VẮNG'!$D$2:$D$1000))))</f>
        <v/>
      </c>
      <c r="E51" s="40">
        <f>IF($B51="","",SUMPRODUCT(('LOG VẮNG'!$C$2:$C$1000&lt;&gt;"")*(YEAR('LOG VẮNG'!$C$2:$C$1000)=2026)*(MONTH('LOG VẮNG'!$C$2:$C$1000)=3)*ISNUMBER(SEARCH($A51,'LOG VẮNG'!$D$2:$D$1000))))</f>
        <v/>
      </c>
      <c r="F51" s="40">
        <f>IF($B51="","",SUMPRODUCT(('LOG VẮNG'!$C$2:$C$1000&lt;&gt;"")*(YEAR('LOG VẮNG'!$C$2:$C$1000)=2026)*(MONTH('LOG VẮNG'!$C$2:$C$1000)=4)*ISNUMBER(SEARCH($A51,'LOG VẮNG'!$D$2:$D$1000))))</f>
        <v/>
      </c>
      <c r="G51" s="40">
        <f>IF($B51="","",SUMPRODUCT(('LOG VẮNG'!$C$2:$C$1000&lt;&gt;"")*(YEAR('LOG VẮNG'!$C$2:$C$1000)=2026)*(MONTH('LOG VẮNG'!$C$2:$C$1000)=5)*ISNUMBER(SEARCH($A51,'LOG VẮNG'!$D$2:$D$1000))))</f>
        <v/>
      </c>
      <c r="H51" s="40">
        <f>IF($B51="","",SUMPRODUCT(('LOG VẮNG'!$C$2:$C$1000&lt;&gt;"")*(YEAR('LOG VẮNG'!$C$2:$C$1000)=2026)*(MONTH('LOG VẮNG'!$C$2:$C$1000)=6)*ISNUMBER(SEARCH($A51,'LOG VẮNG'!$D$2:$D$1000))))</f>
        <v/>
      </c>
      <c r="I51" s="40">
        <f>IF($B51="","",SUMPRODUCT(('LOG VẮNG'!$C$2:$C$1000&lt;&gt;"")*(YEAR('LOG VẮNG'!$C$2:$C$1000)=2026)*(MONTH('LOG VẮNG'!$C$2:$C$1000)=7)*ISNUMBER(SEARCH($A51,'LOG VẮNG'!$D$2:$D$1000))))</f>
        <v/>
      </c>
      <c r="J51" s="40">
        <f>IF($B51="","",SUMPRODUCT(('LOG VẮNG'!$C$2:$C$1000&lt;&gt;"")*(YEAR('LOG VẮNG'!$C$2:$C$1000)=2026)*(MONTH('LOG VẮNG'!$C$2:$C$1000)=8)*ISNUMBER(SEARCH($A51,'LOG VẮNG'!$D$2:$D$1000))))</f>
        <v/>
      </c>
      <c r="K51" s="40">
        <f>IF($B51="","",SUMPRODUCT(('LOG VẮNG'!$C$2:$C$1000&lt;&gt;"")*(YEAR('LOG VẮNG'!$C$2:$C$1000)=2026)*(MONTH('LOG VẮNG'!$C$2:$C$1000)=9)*ISNUMBER(SEARCH($A51,'LOG VẮNG'!$D$2:$D$1000))))</f>
        <v/>
      </c>
      <c r="L51" s="40">
        <f>IF($B51="","",SUMPRODUCT(('LOG VẮNG'!$C$2:$C$1000&lt;&gt;"")*(YEAR('LOG VẮNG'!$C$2:$C$1000)=2026)*(MONTH('LOG VẮNG'!$C$2:$C$1000)=10)*ISNUMBER(SEARCH($A51,'LOG VẮNG'!$D$2:$D$1000))))</f>
        <v/>
      </c>
      <c r="M51" s="40">
        <f>IF($B51="","",SUMPRODUCT(('LOG VẮNG'!$C$2:$C$1000&lt;&gt;"")*(YEAR('LOG VẮNG'!$C$2:$C$1000)=2026)*(MONTH('LOG VẮNG'!$C$2:$C$1000)=11)*ISNUMBER(SEARCH($A51,'LOG VẮNG'!$D$2:$D$1000))))</f>
        <v/>
      </c>
      <c r="N51" s="40">
        <f>IF($B51="","",SUMPRODUCT(('LOG VẮNG'!$C$2:$C$1000&lt;&gt;"")*(YEAR('LOG VẮNG'!$C$2:$C$1000)=2026)*(MONTH('LOG VẮNG'!$C$2:$C$1000)=12)*ISNUMBER(SEARCH($A51,'LOG VẮNG'!$D$2:$D$1000))))</f>
        <v/>
      </c>
      <c r="O51" s="40">
        <f>IF($B51="","",SUM(C51:N51))</f>
        <v/>
      </c>
    </row>
    <row r="52">
      <c r="A52" s="40" t="inlineStr">
        <is>
          <t>ORI050</t>
        </is>
      </c>
      <c r="B52" s="46">
        <f>IFERROR(INDEX('HỌC VIÊN'!$B$4:$B$203,MATCH($A52,'HỌC VIÊN'!$A$4:$A$203,0)),"")</f>
        <v/>
      </c>
      <c r="C52" s="40">
        <f>IF($B52="","",SUMPRODUCT(('LOG VẮNG'!$C$2:$C$1000&lt;&gt;"")*(YEAR('LOG VẮNG'!$C$2:$C$1000)=2026)*(MONTH('LOG VẮNG'!$C$2:$C$1000)=1)*ISNUMBER(SEARCH($A52,'LOG VẮNG'!$D$2:$D$1000))))</f>
        <v/>
      </c>
      <c r="D52" s="40">
        <f>IF($B52="","",SUMPRODUCT(('LOG VẮNG'!$C$2:$C$1000&lt;&gt;"")*(YEAR('LOG VẮNG'!$C$2:$C$1000)=2026)*(MONTH('LOG VẮNG'!$C$2:$C$1000)=2)*ISNUMBER(SEARCH($A52,'LOG VẮNG'!$D$2:$D$1000))))</f>
        <v/>
      </c>
      <c r="E52" s="40">
        <f>IF($B52="","",SUMPRODUCT(('LOG VẮNG'!$C$2:$C$1000&lt;&gt;"")*(YEAR('LOG VẮNG'!$C$2:$C$1000)=2026)*(MONTH('LOG VẮNG'!$C$2:$C$1000)=3)*ISNUMBER(SEARCH($A52,'LOG VẮNG'!$D$2:$D$1000))))</f>
        <v/>
      </c>
      <c r="F52" s="40">
        <f>IF($B52="","",SUMPRODUCT(('LOG VẮNG'!$C$2:$C$1000&lt;&gt;"")*(YEAR('LOG VẮNG'!$C$2:$C$1000)=2026)*(MONTH('LOG VẮNG'!$C$2:$C$1000)=4)*ISNUMBER(SEARCH($A52,'LOG VẮNG'!$D$2:$D$1000))))</f>
        <v/>
      </c>
      <c r="G52" s="40">
        <f>IF($B52="","",SUMPRODUCT(('LOG VẮNG'!$C$2:$C$1000&lt;&gt;"")*(YEAR('LOG VẮNG'!$C$2:$C$1000)=2026)*(MONTH('LOG VẮNG'!$C$2:$C$1000)=5)*ISNUMBER(SEARCH($A52,'LOG VẮNG'!$D$2:$D$1000))))</f>
        <v/>
      </c>
      <c r="H52" s="40">
        <f>IF($B52="","",SUMPRODUCT(('LOG VẮNG'!$C$2:$C$1000&lt;&gt;"")*(YEAR('LOG VẮNG'!$C$2:$C$1000)=2026)*(MONTH('LOG VẮNG'!$C$2:$C$1000)=6)*ISNUMBER(SEARCH($A52,'LOG VẮNG'!$D$2:$D$1000))))</f>
        <v/>
      </c>
      <c r="I52" s="40">
        <f>IF($B52="","",SUMPRODUCT(('LOG VẮNG'!$C$2:$C$1000&lt;&gt;"")*(YEAR('LOG VẮNG'!$C$2:$C$1000)=2026)*(MONTH('LOG VẮNG'!$C$2:$C$1000)=7)*ISNUMBER(SEARCH($A52,'LOG VẮNG'!$D$2:$D$1000))))</f>
        <v/>
      </c>
      <c r="J52" s="40">
        <f>IF($B52="","",SUMPRODUCT(('LOG VẮNG'!$C$2:$C$1000&lt;&gt;"")*(YEAR('LOG VẮNG'!$C$2:$C$1000)=2026)*(MONTH('LOG VẮNG'!$C$2:$C$1000)=8)*ISNUMBER(SEARCH($A52,'LOG VẮNG'!$D$2:$D$1000))))</f>
        <v/>
      </c>
      <c r="K52" s="40">
        <f>IF($B52="","",SUMPRODUCT(('LOG VẮNG'!$C$2:$C$1000&lt;&gt;"")*(YEAR('LOG VẮNG'!$C$2:$C$1000)=2026)*(MONTH('LOG VẮNG'!$C$2:$C$1000)=9)*ISNUMBER(SEARCH($A52,'LOG VẮNG'!$D$2:$D$1000))))</f>
        <v/>
      </c>
      <c r="L52" s="40">
        <f>IF($B52="","",SUMPRODUCT(('LOG VẮNG'!$C$2:$C$1000&lt;&gt;"")*(YEAR('LOG VẮNG'!$C$2:$C$1000)=2026)*(MONTH('LOG VẮNG'!$C$2:$C$1000)=10)*ISNUMBER(SEARCH($A52,'LOG VẮNG'!$D$2:$D$1000))))</f>
        <v/>
      </c>
      <c r="M52" s="40">
        <f>IF($B52="","",SUMPRODUCT(('LOG VẮNG'!$C$2:$C$1000&lt;&gt;"")*(YEAR('LOG VẮNG'!$C$2:$C$1000)=2026)*(MONTH('LOG VẮNG'!$C$2:$C$1000)=11)*ISNUMBER(SEARCH($A52,'LOG VẮNG'!$D$2:$D$1000))))</f>
        <v/>
      </c>
      <c r="N52" s="40">
        <f>IF($B52="","",SUMPRODUCT(('LOG VẮNG'!$C$2:$C$1000&lt;&gt;"")*(YEAR('LOG VẮNG'!$C$2:$C$1000)=2026)*(MONTH('LOG VẮNG'!$C$2:$C$1000)=12)*ISNUMBER(SEARCH($A52,'LOG VẮNG'!$D$2:$D$1000))))</f>
        <v/>
      </c>
      <c r="O52" s="40">
        <f>IF($B52="","",SUM(C52:N52))</f>
        <v/>
      </c>
    </row>
    <row r="53">
      <c r="A53" s="40" t="inlineStr">
        <is>
          <t>ORI051</t>
        </is>
      </c>
      <c r="B53" s="46">
        <f>IFERROR(INDEX('HỌC VIÊN'!$B$4:$B$203,MATCH($A53,'HỌC VIÊN'!$A$4:$A$203,0)),"")</f>
        <v/>
      </c>
      <c r="C53" s="40">
        <f>IF($B53="","",SUMPRODUCT(('LOG VẮNG'!$C$2:$C$1000&lt;&gt;"")*(YEAR('LOG VẮNG'!$C$2:$C$1000)=2026)*(MONTH('LOG VẮNG'!$C$2:$C$1000)=1)*ISNUMBER(SEARCH($A53,'LOG VẮNG'!$D$2:$D$1000))))</f>
        <v/>
      </c>
      <c r="D53" s="40">
        <f>IF($B53="","",SUMPRODUCT(('LOG VẮNG'!$C$2:$C$1000&lt;&gt;"")*(YEAR('LOG VẮNG'!$C$2:$C$1000)=2026)*(MONTH('LOG VẮNG'!$C$2:$C$1000)=2)*ISNUMBER(SEARCH($A53,'LOG VẮNG'!$D$2:$D$1000))))</f>
        <v/>
      </c>
      <c r="E53" s="40">
        <f>IF($B53="","",SUMPRODUCT(('LOG VẮNG'!$C$2:$C$1000&lt;&gt;"")*(YEAR('LOG VẮNG'!$C$2:$C$1000)=2026)*(MONTH('LOG VẮNG'!$C$2:$C$1000)=3)*ISNUMBER(SEARCH($A53,'LOG VẮNG'!$D$2:$D$1000))))</f>
        <v/>
      </c>
      <c r="F53" s="40">
        <f>IF($B53="","",SUMPRODUCT(('LOG VẮNG'!$C$2:$C$1000&lt;&gt;"")*(YEAR('LOG VẮNG'!$C$2:$C$1000)=2026)*(MONTH('LOG VẮNG'!$C$2:$C$1000)=4)*ISNUMBER(SEARCH($A53,'LOG VẮNG'!$D$2:$D$1000))))</f>
        <v/>
      </c>
      <c r="G53" s="40">
        <f>IF($B53="","",SUMPRODUCT(('LOG VẮNG'!$C$2:$C$1000&lt;&gt;"")*(YEAR('LOG VẮNG'!$C$2:$C$1000)=2026)*(MONTH('LOG VẮNG'!$C$2:$C$1000)=5)*ISNUMBER(SEARCH($A53,'LOG VẮNG'!$D$2:$D$1000))))</f>
        <v/>
      </c>
      <c r="H53" s="40">
        <f>IF($B53="","",SUMPRODUCT(('LOG VẮNG'!$C$2:$C$1000&lt;&gt;"")*(YEAR('LOG VẮNG'!$C$2:$C$1000)=2026)*(MONTH('LOG VẮNG'!$C$2:$C$1000)=6)*ISNUMBER(SEARCH($A53,'LOG VẮNG'!$D$2:$D$1000))))</f>
        <v/>
      </c>
      <c r="I53" s="40">
        <f>IF($B53="","",SUMPRODUCT(('LOG VẮNG'!$C$2:$C$1000&lt;&gt;"")*(YEAR('LOG VẮNG'!$C$2:$C$1000)=2026)*(MONTH('LOG VẮNG'!$C$2:$C$1000)=7)*ISNUMBER(SEARCH($A53,'LOG VẮNG'!$D$2:$D$1000))))</f>
        <v/>
      </c>
      <c r="J53" s="40">
        <f>IF($B53="","",SUMPRODUCT(('LOG VẮNG'!$C$2:$C$1000&lt;&gt;"")*(YEAR('LOG VẮNG'!$C$2:$C$1000)=2026)*(MONTH('LOG VẮNG'!$C$2:$C$1000)=8)*ISNUMBER(SEARCH($A53,'LOG VẮNG'!$D$2:$D$1000))))</f>
        <v/>
      </c>
      <c r="K53" s="40">
        <f>IF($B53="","",SUMPRODUCT(('LOG VẮNG'!$C$2:$C$1000&lt;&gt;"")*(YEAR('LOG VẮNG'!$C$2:$C$1000)=2026)*(MONTH('LOG VẮNG'!$C$2:$C$1000)=9)*ISNUMBER(SEARCH($A53,'LOG VẮNG'!$D$2:$D$1000))))</f>
        <v/>
      </c>
      <c r="L53" s="40">
        <f>IF($B53="","",SUMPRODUCT(('LOG VẮNG'!$C$2:$C$1000&lt;&gt;"")*(YEAR('LOG VẮNG'!$C$2:$C$1000)=2026)*(MONTH('LOG VẮNG'!$C$2:$C$1000)=10)*ISNUMBER(SEARCH($A53,'LOG VẮNG'!$D$2:$D$1000))))</f>
        <v/>
      </c>
      <c r="M53" s="40">
        <f>IF($B53="","",SUMPRODUCT(('LOG VẮNG'!$C$2:$C$1000&lt;&gt;"")*(YEAR('LOG VẮNG'!$C$2:$C$1000)=2026)*(MONTH('LOG VẮNG'!$C$2:$C$1000)=11)*ISNUMBER(SEARCH($A53,'LOG VẮNG'!$D$2:$D$1000))))</f>
        <v/>
      </c>
      <c r="N53" s="40">
        <f>IF($B53="","",SUMPRODUCT(('LOG VẮNG'!$C$2:$C$1000&lt;&gt;"")*(YEAR('LOG VẮNG'!$C$2:$C$1000)=2026)*(MONTH('LOG VẮNG'!$C$2:$C$1000)=12)*ISNUMBER(SEARCH($A53,'LOG VẮNG'!$D$2:$D$1000))))</f>
        <v/>
      </c>
      <c r="O53" s="40">
        <f>IF($B53="","",SUM(C53:N53))</f>
        <v/>
      </c>
    </row>
    <row r="54">
      <c r="A54" s="40" t="inlineStr">
        <is>
          <t>ORI052</t>
        </is>
      </c>
      <c r="B54" s="46">
        <f>IFERROR(INDEX('HỌC VIÊN'!$B$4:$B$203,MATCH($A54,'HỌC VIÊN'!$A$4:$A$203,0)),"")</f>
        <v/>
      </c>
      <c r="C54" s="40">
        <f>IF($B54="","",SUMPRODUCT(('LOG VẮNG'!$C$2:$C$1000&lt;&gt;"")*(YEAR('LOG VẮNG'!$C$2:$C$1000)=2026)*(MONTH('LOG VẮNG'!$C$2:$C$1000)=1)*ISNUMBER(SEARCH($A54,'LOG VẮNG'!$D$2:$D$1000))))</f>
        <v/>
      </c>
      <c r="D54" s="40">
        <f>IF($B54="","",SUMPRODUCT(('LOG VẮNG'!$C$2:$C$1000&lt;&gt;"")*(YEAR('LOG VẮNG'!$C$2:$C$1000)=2026)*(MONTH('LOG VẮNG'!$C$2:$C$1000)=2)*ISNUMBER(SEARCH($A54,'LOG VẮNG'!$D$2:$D$1000))))</f>
        <v/>
      </c>
      <c r="E54" s="40">
        <f>IF($B54="","",SUMPRODUCT(('LOG VẮNG'!$C$2:$C$1000&lt;&gt;"")*(YEAR('LOG VẮNG'!$C$2:$C$1000)=2026)*(MONTH('LOG VẮNG'!$C$2:$C$1000)=3)*ISNUMBER(SEARCH($A54,'LOG VẮNG'!$D$2:$D$1000))))</f>
        <v/>
      </c>
      <c r="F54" s="40">
        <f>IF($B54="","",SUMPRODUCT(('LOG VẮNG'!$C$2:$C$1000&lt;&gt;"")*(YEAR('LOG VẮNG'!$C$2:$C$1000)=2026)*(MONTH('LOG VẮNG'!$C$2:$C$1000)=4)*ISNUMBER(SEARCH($A54,'LOG VẮNG'!$D$2:$D$1000))))</f>
        <v/>
      </c>
      <c r="G54" s="40">
        <f>IF($B54="","",SUMPRODUCT(('LOG VẮNG'!$C$2:$C$1000&lt;&gt;"")*(YEAR('LOG VẮNG'!$C$2:$C$1000)=2026)*(MONTH('LOG VẮNG'!$C$2:$C$1000)=5)*ISNUMBER(SEARCH($A54,'LOG VẮNG'!$D$2:$D$1000))))</f>
        <v/>
      </c>
      <c r="H54" s="40">
        <f>IF($B54="","",SUMPRODUCT(('LOG VẮNG'!$C$2:$C$1000&lt;&gt;"")*(YEAR('LOG VẮNG'!$C$2:$C$1000)=2026)*(MONTH('LOG VẮNG'!$C$2:$C$1000)=6)*ISNUMBER(SEARCH($A54,'LOG VẮNG'!$D$2:$D$1000))))</f>
        <v/>
      </c>
      <c r="I54" s="40">
        <f>IF($B54="","",SUMPRODUCT(('LOG VẮNG'!$C$2:$C$1000&lt;&gt;"")*(YEAR('LOG VẮNG'!$C$2:$C$1000)=2026)*(MONTH('LOG VẮNG'!$C$2:$C$1000)=7)*ISNUMBER(SEARCH($A54,'LOG VẮNG'!$D$2:$D$1000))))</f>
        <v/>
      </c>
      <c r="J54" s="40">
        <f>IF($B54="","",SUMPRODUCT(('LOG VẮNG'!$C$2:$C$1000&lt;&gt;"")*(YEAR('LOG VẮNG'!$C$2:$C$1000)=2026)*(MONTH('LOG VẮNG'!$C$2:$C$1000)=8)*ISNUMBER(SEARCH($A54,'LOG VẮNG'!$D$2:$D$1000))))</f>
        <v/>
      </c>
      <c r="K54" s="40">
        <f>IF($B54="","",SUMPRODUCT(('LOG VẮNG'!$C$2:$C$1000&lt;&gt;"")*(YEAR('LOG VẮNG'!$C$2:$C$1000)=2026)*(MONTH('LOG VẮNG'!$C$2:$C$1000)=9)*ISNUMBER(SEARCH($A54,'LOG VẮNG'!$D$2:$D$1000))))</f>
        <v/>
      </c>
      <c r="L54" s="40">
        <f>IF($B54="","",SUMPRODUCT(('LOG VẮNG'!$C$2:$C$1000&lt;&gt;"")*(YEAR('LOG VẮNG'!$C$2:$C$1000)=2026)*(MONTH('LOG VẮNG'!$C$2:$C$1000)=10)*ISNUMBER(SEARCH($A54,'LOG VẮNG'!$D$2:$D$1000))))</f>
        <v/>
      </c>
      <c r="M54" s="40">
        <f>IF($B54="","",SUMPRODUCT(('LOG VẮNG'!$C$2:$C$1000&lt;&gt;"")*(YEAR('LOG VẮNG'!$C$2:$C$1000)=2026)*(MONTH('LOG VẮNG'!$C$2:$C$1000)=11)*ISNUMBER(SEARCH($A54,'LOG VẮNG'!$D$2:$D$1000))))</f>
        <v/>
      </c>
      <c r="N54" s="40">
        <f>IF($B54="","",SUMPRODUCT(('LOG VẮNG'!$C$2:$C$1000&lt;&gt;"")*(YEAR('LOG VẮNG'!$C$2:$C$1000)=2026)*(MONTH('LOG VẮNG'!$C$2:$C$1000)=12)*ISNUMBER(SEARCH($A54,'LOG VẮNG'!$D$2:$D$1000))))</f>
        <v/>
      </c>
      <c r="O54" s="40">
        <f>IF($B54="","",SUM(C54:N54))</f>
        <v/>
      </c>
    </row>
    <row r="55">
      <c r="A55" s="40" t="inlineStr">
        <is>
          <t>ORI053</t>
        </is>
      </c>
      <c r="B55" s="46">
        <f>IFERROR(INDEX('HỌC VIÊN'!$B$4:$B$203,MATCH($A55,'HỌC VIÊN'!$A$4:$A$203,0)),"")</f>
        <v/>
      </c>
      <c r="C55" s="40">
        <f>IF($B55="","",SUMPRODUCT(('LOG VẮNG'!$C$2:$C$1000&lt;&gt;"")*(YEAR('LOG VẮNG'!$C$2:$C$1000)=2026)*(MONTH('LOG VẮNG'!$C$2:$C$1000)=1)*ISNUMBER(SEARCH($A55,'LOG VẮNG'!$D$2:$D$1000))))</f>
        <v/>
      </c>
      <c r="D55" s="40">
        <f>IF($B55="","",SUMPRODUCT(('LOG VẮNG'!$C$2:$C$1000&lt;&gt;"")*(YEAR('LOG VẮNG'!$C$2:$C$1000)=2026)*(MONTH('LOG VẮNG'!$C$2:$C$1000)=2)*ISNUMBER(SEARCH($A55,'LOG VẮNG'!$D$2:$D$1000))))</f>
        <v/>
      </c>
      <c r="E55" s="40">
        <f>IF($B55="","",SUMPRODUCT(('LOG VẮNG'!$C$2:$C$1000&lt;&gt;"")*(YEAR('LOG VẮNG'!$C$2:$C$1000)=2026)*(MONTH('LOG VẮNG'!$C$2:$C$1000)=3)*ISNUMBER(SEARCH($A55,'LOG VẮNG'!$D$2:$D$1000))))</f>
        <v/>
      </c>
      <c r="F55" s="40">
        <f>IF($B55="","",SUMPRODUCT(('LOG VẮNG'!$C$2:$C$1000&lt;&gt;"")*(YEAR('LOG VẮNG'!$C$2:$C$1000)=2026)*(MONTH('LOG VẮNG'!$C$2:$C$1000)=4)*ISNUMBER(SEARCH($A55,'LOG VẮNG'!$D$2:$D$1000))))</f>
        <v/>
      </c>
      <c r="G55" s="40">
        <f>IF($B55="","",SUMPRODUCT(('LOG VẮNG'!$C$2:$C$1000&lt;&gt;"")*(YEAR('LOG VẮNG'!$C$2:$C$1000)=2026)*(MONTH('LOG VẮNG'!$C$2:$C$1000)=5)*ISNUMBER(SEARCH($A55,'LOG VẮNG'!$D$2:$D$1000))))</f>
        <v/>
      </c>
      <c r="H55" s="40">
        <f>IF($B55="","",SUMPRODUCT(('LOG VẮNG'!$C$2:$C$1000&lt;&gt;"")*(YEAR('LOG VẮNG'!$C$2:$C$1000)=2026)*(MONTH('LOG VẮNG'!$C$2:$C$1000)=6)*ISNUMBER(SEARCH($A55,'LOG VẮNG'!$D$2:$D$1000))))</f>
        <v/>
      </c>
      <c r="I55" s="40">
        <f>IF($B55="","",SUMPRODUCT(('LOG VẮNG'!$C$2:$C$1000&lt;&gt;"")*(YEAR('LOG VẮNG'!$C$2:$C$1000)=2026)*(MONTH('LOG VẮNG'!$C$2:$C$1000)=7)*ISNUMBER(SEARCH($A55,'LOG VẮNG'!$D$2:$D$1000))))</f>
        <v/>
      </c>
      <c r="J55" s="40">
        <f>IF($B55="","",SUMPRODUCT(('LOG VẮNG'!$C$2:$C$1000&lt;&gt;"")*(YEAR('LOG VẮNG'!$C$2:$C$1000)=2026)*(MONTH('LOG VẮNG'!$C$2:$C$1000)=8)*ISNUMBER(SEARCH($A55,'LOG VẮNG'!$D$2:$D$1000))))</f>
        <v/>
      </c>
      <c r="K55" s="40">
        <f>IF($B55="","",SUMPRODUCT(('LOG VẮNG'!$C$2:$C$1000&lt;&gt;"")*(YEAR('LOG VẮNG'!$C$2:$C$1000)=2026)*(MONTH('LOG VẮNG'!$C$2:$C$1000)=9)*ISNUMBER(SEARCH($A55,'LOG VẮNG'!$D$2:$D$1000))))</f>
        <v/>
      </c>
      <c r="L55" s="40">
        <f>IF($B55="","",SUMPRODUCT(('LOG VẮNG'!$C$2:$C$1000&lt;&gt;"")*(YEAR('LOG VẮNG'!$C$2:$C$1000)=2026)*(MONTH('LOG VẮNG'!$C$2:$C$1000)=10)*ISNUMBER(SEARCH($A55,'LOG VẮNG'!$D$2:$D$1000))))</f>
        <v/>
      </c>
      <c r="M55" s="40">
        <f>IF($B55="","",SUMPRODUCT(('LOG VẮNG'!$C$2:$C$1000&lt;&gt;"")*(YEAR('LOG VẮNG'!$C$2:$C$1000)=2026)*(MONTH('LOG VẮNG'!$C$2:$C$1000)=11)*ISNUMBER(SEARCH($A55,'LOG VẮNG'!$D$2:$D$1000))))</f>
        <v/>
      </c>
      <c r="N55" s="40">
        <f>IF($B55="","",SUMPRODUCT(('LOG VẮNG'!$C$2:$C$1000&lt;&gt;"")*(YEAR('LOG VẮNG'!$C$2:$C$1000)=2026)*(MONTH('LOG VẮNG'!$C$2:$C$1000)=12)*ISNUMBER(SEARCH($A55,'LOG VẮNG'!$D$2:$D$1000))))</f>
        <v/>
      </c>
      <c r="O55" s="40">
        <f>IF($B55="","",SUM(C55:N55))</f>
        <v/>
      </c>
    </row>
    <row r="56">
      <c r="A56" s="40" t="inlineStr">
        <is>
          <t>ORI054</t>
        </is>
      </c>
      <c r="B56" s="46">
        <f>IFERROR(INDEX('HỌC VIÊN'!$B$4:$B$203,MATCH($A56,'HỌC VIÊN'!$A$4:$A$203,0)),"")</f>
        <v/>
      </c>
      <c r="C56" s="40">
        <f>IF($B56="","",SUMPRODUCT(('LOG VẮNG'!$C$2:$C$1000&lt;&gt;"")*(YEAR('LOG VẮNG'!$C$2:$C$1000)=2026)*(MONTH('LOG VẮNG'!$C$2:$C$1000)=1)*ISNUMBER(SEARCH($A56,'LOG VẮNG'!$D$2:$D$1000))))</f>
        <v/>
      </c>
      <c r="D56" s="40">
        <f>IF($B56="","",SUMPRODUCT(('LOG VẮNG'!$C$2:$C$1000&lt;&gt;"")*(YEAR('LOG VẮNG'!$C$2:$C$1000)=2026)*(MONTH('LOG VẮNG'!$C$2:$C$1000)=2)*ISNUMBER(SEARCH($A56,'LOG VẮNG'!$D$2:$D$1000))))</f>
        <v/>
      </c>
      <c r="E56" s="40">
        <f>IF($B56="","",SUMPRODUCT(('LOG VẮNG'!$C$2:$C$1000&lt;&gt;"")*(YEAR('LOG VẮNG'!$C$2:$C$1000)=2026)*(MONTH('LOG VẮNG'!$C$2:$C$1000)=3)*ISNUMBER(SEARCH($A56,'LOG VẮNG'!$D$2:$D$1000))))</f>
        <v/>
      </c>
      <c r="F56" s="40">
        <f>IF($B56="","",SUMPRODUCT(('LOG VẮNG'!$C$2:$C$1000&lt;&gt;"")*(YEAR('LOG VẮNG'!$C$2:$C$1000)=2026)*(MONTH('LOG VẮNG'!$C$2:$C$1000)=4)*ISNUMBER(SEARCH($A56,'LOG VẮNG'!$D$2:$D$1000))))</f>
        <v/>
      </c>
      <c r="G56" s="40">
        <f>IF($B56="","",SUMPRODUCT(('LOG VẮNG'!$C$2:$C$1000&lt;&gt;"")*(YEAR('LOG VẮNG'!$C$2:$C$1000)=2026)*(MONTH('LOG VẮNG'!$C$2:$C$1000)=5)*ISNUMBER(SEARCH($A56,'LOG VẮNG'!$D$2:$D$1000))))</f>
        <v/>
      </c>
      <c r="H56" s="40">
        <f>IF($B56="","",SUMPRODUCT(('LOG VẮNG'!$C$2:$C$1000&lt;&gt;"")*(YEAR('LOG VẮNG'!$C$2:$C$1000)=2026)*(MONTH('LOG VẮNG'!$C$2:$C$1000)=6)*ISNUMBER(SEARCH($A56,'LOG VẮNG'!$D$2:$D$1000))))</f>
        <v/>
      </c>
      <c r="I56" s="40">
        <f>IF($B56="","",SUMPRODUCT(('LOG VẮNG'!$C$2:$C$1000&lt;&gt;"")*(YEAR('LOG VẮNG'!$C$2:$C$1000)=2026)*(MONTH('LOG VẮNG'!$C$2:$C$1000)=7)*ISNUMBER(SEARCH($A56,'LOG VẮNG'!$D$2:$D$1000))))</f>
        <v/>
      </c>
      <c r="J56" s="40">
        <f>IF($B56="","",SUMPRODUCT(('LOG VẮNG'!$C$2:$C$1000&lt;&gt;"")*(YEAR('LOG VẮNG'!$C$2:$C$1000)=2026)*(MONTH('LOG VẮNG'!$C$2:$C$1000)=8)*ISNUMBER(SEARCH($A56,'LOG VẮNG'!$D$2:$D$1000))))</f>
        <v/>
      </c>
      <c r="K56" s="40">
        <f>IF($B56="","",SUMPRODUCT(('LOG VẮNG'!$C$2:$C$1000&lt;&gt;"")*(YEAR('LOG VẮNG'!$C$2:$C$1000)=2026)*(MONTH('LOG VẮNG'!$C$2:$C$1000)=9)*ISNUMBER(SEARCH($A56,'LOG VẮNG'!$D$2:$D$1000))))</f>
        <v/>
      </c>
      <c r="L56" s="40">
        <f>IF($B56="","",SUMPRODUCT(('LOG VẮNG'!$C$2:$C$1000&lt;&gt;"")*(YEAR('LOG VẮNG'!$C$2:$C$1000)=2026)*(MONTH('LOG VẮNG'!$C$2:$C$1000)=10)*ISNUMBER(SEARCH($A56,'LOG VẮNG'!$D$2:$D$1000))))</f>
        <v/>
      </c>
      <c r="M56" s="40">
        <f>IF($B56="","",SUMPRODUCT(('LOG VẮNG'!$C$2:$C$1000&lt;&gt;"")*(YEAR('LOG VẮNG'!$C$2:$C$1000)=2026)*(MONTH('LOG VẮNG'!$C$2:$C$1000)=11)*ISNUMBER(SEARCH($A56,'LOG VẮNG'!$D$2:$D$1000))))</f>
        <v/>
      </c>
      <c r="N56" s="40">
        <f>IF($B56="","",SUMPRODUCT(('LOG VẮNG'!$C$2:$C$1000&lt;&gt;"")*(YEAR('LOG VẮNG'!$C$2:$C$1000)=2026)*(MONTH('LOG VẮNG'!$C$2:$C$1000)=12)*ISNUMBER(SEARCH($A56,'LOG VẮNG'!$D$2:$D$1000))))</f>
        <v/>
      </c>
      <c r="O56" s="40">
        <f>IF($B56="","",SUM(C56:N56))</f>
        <v/>
      </c>
    </row>
    <row r="57">
      <c r="A57" s="40" t="inlineStr">
        <is>
          <t>ORI055</t>
        </is>
      </c>
      <c r="B57" s="46">
        <f>IFERROR(INDEX('HỌC VIÊN'!$B$4:$B$203,MATCH($A57,'HỌC VIÊN'!$A$4:$A$203,0)),"")</f>
        <v/>
      </c>
      <c r="C57" s="40">
        <f>IF($B57="","",SUMPRODUCT(('LOG VẮNG'!$C$2:$C$1000&lt;&gt;"")*(YEAR('LOG VẮNG'!$C$2:$C$1000)=2026)*(MONTH('LOG VẮNG'!$C$2:$C$1000)=1)*ISNUMBER(SEARCH($A57,'LOG VẮNG'!$D$2:$D$1000))))</f>
        <v/>
      </c>
      <c r="D57" s="40">
        <f>IF($B57="","",SUMPRODUCT(('LOG VẮNG'!$C$2:$C$1000&lt;&gt;"")*(YEAR('LOG VẮNG'!$C$2:$C$1000)=2026)*(MONTH('LOG VẮNG'!$C$2:$C$1000)=2)*ISNUMBER(SEARCH($A57,'LOG VẮNG'!$D$2:$D$1000))))</f>
        <v/>
      </c>
      <c r="E57" s="40">
        <f>IF($B57="","",SUMPRODUCT(('LOG VẮNG'!$C$2:$C$1000&lt;&gt;"")*(YEAR('LOG VẮNG'!$C$2:$C$1000)=2026)*(MONTH('LOG VẮNG'!$C$2:$C$1000)=3)*ISNUMBER(SEARCH($A57,'LOG VẮNG'!$D$2:$D$1000))))</f>
        <v/>
      </c>
      <c r="F57" s="40">
        <f>IF($B57="","",SUMPRODUCT(('LOG VẮNG'!$C$2:$C$1000&lt;&gt;"")*(YEAR('LOG VẮNG'!$C$2:$C$1000)=2026)*(MONTH('LOG VẮNG'!$C$2:$C$1000)=4)*ISNUMBER(SEARCH($A57,'LOG VẮNG'!$D$2:$D$1000))))</f>
        <v/>
      </c>
      <c r="G57" s="40">
        <f>IF($B57="","",SUMPRODUCT(('LOG VẮNG'!$C$2:$C$1000&lt;&gt;"")*(YEAR('LOG VẮNG'!$C$2:$C$1000)=2026)*(MONTH('LOG VẮNG'!$C$2:$C$1000)=5)*ISNUMBER(SEARCH($A57,'LOG VẮNG'!$D$2:$D$1000))))</f>
        <v/>
      </c>
      <c r="H57" s="40">
        <f>IF($B57="","",SUMPRODUCT(('LOG VẮNG'!$C$2:$C$1000&lt;&gt;"")*(YEAR('LOG VẮNG'!$C$2:$C$1000)=2026)*(MONTH('LOG VẮNG'!$C$2:$C$1000)=6)*ISNUMBER(SEARCH($A57,'LOG VẮNG'!$D$2:$D$1000))))</f>
        <v/>
      </c>
      <c r="I57" s="40">
        <f>IF($B57="","",SUMPRODUCT(('LOG VẮNG'!$C$2:$C$1000&lt;&gt;"")*(YEAR('LOG VẮNG'!$C$2:$C$1000)=2026)*(MONTH('LOG VẮNG'!$C$2:$C$1000)=7)*ISNUMBER(SEARCH($A57,'LOG VẮNG'!$D$2:$D$1000))))</f>
        <v/>
      </c>
      <c r="J57" s="40">
        <f>IF($B57="","",SUMPRODUCT(('LOG VẮNG'!$C$2:$C$1000&lt;&gt;"")*(YEAR('LOG VẮNG'!$C$2:$C$1000)=2026)*(MONTH('LOG VẮNG'!$C$2:$C$1000)=8)*ISNUMBER(SEARCH($A57,'LOG VẮNG'!$D$2:$D$1000))))</f>
        <v/>
      </c>
      <c r="K57" s="40">
        <f>IF($B57="","",SUMPRODUCT(('LOG VẮNG'!$C$2:$C$1000&lt;&gt;"")*(YEAR('LOG VẮNG'!$C$2:$C$1000)=2026)*(MONTH('LOG VẮNG'!$C$2:$C$1000)=9)*ISNUMBER(SEARCH($A57,'LOG VẮNG'!$D$2:$D$1000))))</f>
        <v/>
      </c>
      <c r="L57" s="40">
        <f>IF($B57="","",SUMPRODUCT(('LOG VẮNG'!$C$2:$C$1000&lt;&gt;"")*(YEAR('LOG VẮNG'!$C$2:$C$1000)=2026)*(MONTH('LOG VẮNG'!$C$2:$C$1000)=10)*ISNUMBER(SEARCH($A57,'LOG VẮNG'!$D$2:$D$1000))))</f>
        <v/>
      </c>
      <c r="M57" s="40">
        <f>IF($B57="","",SUMPRODUCT(('LOG VẮNG'!$C$2:$C$1000&lt;&gt;"")*(YEAR('LOG VẮNG'!$C$2:$C$1000)=2026)*(MONTH('LOG VẮNG'!$C$2:$C$1000)=11)*ISNUMBER(SEARCH($A57,'LOG VẮNG'!$D$2:$D$1000))))</f>
        <v/>
      </c>
      <c r="N57" s="40">
        <f>IF($B57="","",SUMPRODUCT(('LOG VẮNG'!$C$2:$C$1000&lt;&gt;"")*(YEAR('LOG VẮNG'!$C$2:$C$1000)=2026)*(MONTH('LOG VẮNG'!$C$2:$C$1000)=12)*ISNUMBER(SEARCH($A57,'LOG VẮNG'!$D$2:$D$1000))))</f>
        <v/>
      </c>
      <c r="O57" s="40">
        <f>IF($B57="","",SUM(C57:N57))</f>
        <v/>
      </c>
    </row>
    <row r="58">
      <c r="A58" s="40" t="inlineStr">
        <is>
          <t>ORI056</t>
        </is>
      </c>
      <c r="B58" s="46">
        <f>IFERROR(INDEX('HỌC VIÊN'!$B$4:$B$203,MATCH($A58,'HỌC VIÊN'!$A$4:$A$203,0)),"")</f>
        <v/>
      </c>
      <c r="C58" s="40">
        <f>IF($B58="","",SUMPRODUCT(('LOG VẮNG'!$C$2:$C$1000&lt;&gt;"")*(YEAR('LOG VẮNG'!$C$2:$C$1000)=2026)*(MONTH('LOG VẮNG'!$C$2:$C$1000)=1)*ISNUMBER(SEARCH($A58,'LOG VẮNG'!$D$2:$D$1000))))</f>
        <v/>
      </c>
      <c r="D58" s="40">
        <f>IF($B58="","",SUMPRODUCT(('LOG VẮNG'!$C$2:$C$1000&lt;&gt;"")*(YEAR('LOG VẮNG'!$C$2:$C$1000)=2026)*(MONTH('LOG VẮNG'!$C$2:$C$1000)=2)*ISNUMBER(SEARCH($A58,'LOG VẮNG'!$D$2:$D$1000))))</f>
        <v/>
      </c>
      <c r="E58" s="40">
        <f>IF($B58="","",SUMPRODUCT(('LOG VẮNG'!$C$2:$C$1000&lt;&gt;"")*(YEAR('LOG VẮNG'!$C$2:$C$1000)=2026)*(MONTH('LOG VẮNG'!$C$2:$C$1000)=3)*ISNUMBER(SEARCH($A58,'LOG VẮNG'!$D$2:$D$1000))))</f>
        <v/>
      </c>
      <c r="F58" s="40">
        <f>IF($B58="","",SUMPRODUCT(('LOG VẮNG'!$C$2:$C$1000&lt;&gt;"")*(YEAR('LOG VẮNG'!$C$2:$C$1000)=2026)*(MONTH('LOG VẮNG'!$C$2:$C$1000)=4)*ISNUMBER(SEARCH($A58,'LOG VẮNG'!$D$2:$D$1000))))</f>
        <v/>
      </c>
      <c r="G58" s="40">
        <f>IF($B58="","",SUMPRODUCT(('LOG VẮNG'!$C$2:$C$1000&lt;&gt;"")*(YEAR('LOG VẮNG'!$C$2:$C$1000)=2026)*(MONTH('LOG VẮNG'!$C$2:$C$1000)=5)*ISNUMBER(SEARCH($A58,'LOG VẮNG'!$D$2:$D$1000))))</f>
        <v/>
      </c>
      <c r="H58" s="40">
        <f>IF($B58="","",SUMPRODUCT(('LOG VẮNG'!$C$2:$C$1000&lt;&gt;"")*(YEAR('LOG VẮNG'!$C$2:$C$1000)=2026)*(MONTH('LOG VẮNG'!$C$2:$C$1000)=6)*ISNUMBER(SEARCH($A58,'LOG VẮNG'!$D$2:$D$1000))))</f>
        <v/>
      </c>
      <c r="I58" s="40">
        <f>IF($B58="","",SUMPRODUCT(('LOG VẮNG'!$C$2:$C$1000&lt;&gt;"")*(YEAR('LOG VẮNG'!$C$2:$C$1000)=2026)*(MONTH('LOG VẮNG'!$C$2:$C$1000)=7)*ISNUMBER(SEARCH($A58,'LOG VẮNG'!$D$2:$D$1000))))</f>
        <v/>
      </c>
      <c r="J58" s="40">
        <f>IF($B58="","",SUMPRODUCT(('LOG VẮNG'!$C$2:$C$1000&lt;&gt;"")*(YEAR('LOG VẮNG'!$C$2:$C$1000)=2026)*(MONTH('LOG VẮNG'!$C$2:$C$1000)=8)*ISNUMBER(SEARCH($A58,'LOG VẮNG'!$D$2:$D$1000))))</f>
        <v/>
      </c>
      <c r="K58" s="40">
        <f>IF($B58="","",SUMPRODUCT(('LOG VẮNG'!$C$2:$C$1000&lt;&gt;"")*(YEAR('LOG VẮNG'!$C$2:$C$1000)=2026)*(MONTH('LOG VẮNG'!$C$2:$C$1000)=9)*ISNUMBER(SEARCH($A58,'LOG VẮNG'!$D$2:$D$1000))))</f>
        <v/>
      </c>
      <c r="L58" s="40">
        <f>IF($B58="","",SUMPRODUCT(('LOG VẮNG'!$C$2:$C$1000&lt;&gt;"")*(YEAR('LOG VẮNG'!$C$2:$C$1000)=2026)*(MONTH('LOG VẮNG'!$C$2:$C$1000)=10)*ISNUMBER(SEARCH($A58,'LOG VẮNG'!$D$2:$D$1000))))</f>
        <v/>
      </c>
      <c r="M58" s="40">
        <f>IF($B58="","",SUMPRODUCT(('LOG VẮNG'!$C$2:$C$1000&lt;&gt;"")*(YEAR('LOG VẮNG'!$C$2:$C$1000)=2026)*(MONTH('LOG VẮNG'!$C$2:$C$1000)=11)*ISNUMBER(SEARCH($A58,'LOG VẮNG'!$D$2:$D$1000))))</f>
        <v/>
      </c>
      <c r="N58" s="40">
        <f>IF($B58="","",SUMPRODUCT(('LOG VẮNG'!$C$2:$C$1000&lt;&gt;"")*(YEAR('LOG VẮNG'!$C$2:$C$1000)=2026)*(MONTH('LOG VẮNG'!$C$2:$C$1000)=12)*ISNUMBER(SEARCH($A58,'LOG VẮNG'!$D$2:$D$1000))))</f>
        <v/>
      </c>
      <c r="O58" s="40">
        <f>IF($B58="","",SUM(C58:N58))</f>
        <v/>
      </c>
    </row>
    <row r="59">
      <c r="A59" s="40" t="inlineStr">
        <is>
          <t>ORI057</t>
        </is>
      </c>
      <c r="B59" s="46">
        <f>IFERROR(INDEX('HỌC VIÊN'!$B$4:$B$203,MATCH($A59,'HỌC VIÊN'!$A$4:$A$203,0)),"")</f>
        <v/>
      </c>
      <c r="C59" s="40">
        <f>IF($B59="","",SUMPRODUCT(('LOG VẮNG'!$C$2:$C$1000&lt;&gt;"")*(YEAR('LOG VẮNG'!$C$2:$C$1000)=2026)*(MONTH('LOG VẮNG'!$C$2:$C$1000)=1)*ISNUMBER(SEARCH($A59,'LOG VẮNG'!$D$2:$D$1000))))</f>
        <v/>
      </c>
      <c r="D59" s="40">
        <f>IF($B59="","",SUMPRODUCT(('LOG VẮNG'!$C$2:$C$1000&lt;&gt;"")*(YEAR('LOG VẮNG'!$C$2:$C$1000)=2026)*(MONTH('LOG VẮNG'!$C$2:$C$1000)=2)*ISNUMBER(SEARCH($A59,'LOG VẮNG'!$D$2:$D$1000))))</f>
        <v/>
      </c>
      <c r="E59" s="40">
        <f>IF($B59="","",SUMPRODUCT(('LOG VẮNG'!$C$2:$C$1000&lt;&gt;"")*(YEAR('LOG VẮNG'!$C$2:$C$1000)=2026)*(MONTH('LOG VẮNG'!$C$2:$C$1000)=3)*ISNUMBER(SEARCH($A59,'LOG VẮNG'!$D$2:$D$1000))))</f>
        <v/>
      </c>
      <c r="F59" s="40">
        <f>IF($B59="","",SUMPRODUCT(('LOG VẮNG'!$C$2:$C$1000&lt;&gt;"")*(YEAR('LOG VẮNG'!$C$2:$C$1000)=2026)*(MONTH('LOG VẮNG'!$C$2:$C$1000)=4)*ISNUMBER(SEARCH($A59,'LOG VẮNG'!$D$2:$D$1000))))</f>
        <v/>
      </c>
      <c r="G59" s="40">
        <f>IF($B59="","",SUMPRODUCT(('LOG VẮNG'!$C$2:$C$1000&lt;&gt;"")*(YEAR('LOG VẮNG'!$C$2:$C$1000)=2026)*(MONTH('LOG VẮNG'!$C$2:$C$1000)=5)*ISNUMBER(SEARCH($A59,'LOG VẮNG'!$D$2:$D$1000))))</f>
        <v/>
      </c>
      <c r="H59" s="40">
        <f>IF($B59="","",SUMPRODUCT(('LOG VẮNG'!$C$2:$C$1000&lt;&gt;"")*(YEAR('LOG VẮNG'!$C$2:$C$1000)=2026)*(MONTH('LOG VẮNG'!$C$2:$C$1000)=6)*ISNUMBER(SEARCH($A59,'LOG VẮNG'!$D$2:$D$1000))))</f>
        <v/>
      </c>
      <c r="I59" s="40">
        <f>IF($B59="","",SUMPRODUCT(('LOG VẮNG'!$C$2:$C$1000&lt;&gt;"")*(YEAR('LOG VẮNG'!$C$2:$C$1000)=2026)*(MONTH('LOG VẮNG'!$C$2:$C$1000)=7)*ISNUMBER(SEARCH($A59,'LOG VẮNG'!$D$2:$D$1000))))</f>
        <v/>
      </c>
      <c r="J59" s="40">
        <f>IF($B59="","",SUMPRODUCT(('LOG VẮNG'!$C$2:$C$1000&lt;&gt;"")*(YEAR('LOG VẮNG'!$C$2:$C$1000)=2026)*(MONTH('LOG VẮNG'!$C$2:$C$1000)=8)*ISNUMBER(SEARCH($A59,'LOG VẮNG'!$D$2:$D$1000))))</f>
        <v/>
      </c>
      <c r="K59" s="40">
        <f>IF($B59="","",SUMPRODUCT(('LOG VẮNG'!$C$2:$C$1000&lt;&gt;"")*(YEAR('LOG VẮNG'!$C$2:$C$1000)=2026)*(MONTH('LOG VẮNG'!$C$2:$C$1000)=9)*ISNUMBER(SEARCH($A59,'LOG VẮNG'!$D$2:$D$1000))))</f>
        <v/>
      </c>
      <c r="L59" s="40">
        <f>IF($B59="","",SUMPRODUCT(('LOG VẮNG'!$C$2:$C$1000&lt;&gt;"")*(YEAR('LOG VẮNG'!$C$2:$C$1000)=2026)*(MONTH('LOG VẮNG'!$C$2:$C$1000)=10)*ISNUMBER(SEARCH($A59,'LOG VẮNG'!$D$2:$D$1000))))</f>
        <v/>
      </c>
      <c r="M59" s="40">
        <f>IF($B59="","",SUMPRODUCT(('LOG VẮNG'!$C$2:$C$1000&lt;&gt;"")*(YEAR('LOG VẮNG'!$C$2:$C$1000)=2026)*(MONTH('LOG VẮNG'!$C$2:$C$1000)=11)*ISNUMBER(SEARCH($A59,'LOG VẮNG'!$D$2:$D$1000))))</f>
        <v/>
      </c>
      <c r="N59" s="40">
        <f>IF($B59="","",SUMPRODUCT(('LOG VẮNG'!$C$2:$C$1000&lt;&gt;"")*(YEAR('LOG VẮNG'!$C$2:$C$1000)=2026)*(MONTH('LOG VẮNG'!$C$2:$C$1000)=12)*ISNUMBER(SEARCH($A59,'LOG VẮNG'!$D$2:$D$1000))))</f>
        <v/>
      </c>
      <c r="O59" s="40">
        <f>IF($B59="","",SUM(C59:N59))</f>
        <v/>
      </c>
    </row>
    <row r="60">
      <c r="A60" s="40" t="inlineStr">
        <is>
          <t>ORI058</t>
        </is>
      </c>
      <c r="B60" s="46">
        <f>IFERROR(INDEX('HỌC VIÊN'!$B$4:$B$203,MATCH($A60,'HỌC VIÊN'!$A$4:$A$203,0)),"")</f>
        <v/>
      </c>
      <c r="C60" s="40">
        <f>IF($B60="","",SUMPRODUCT(('LOG VẮNG'!$C$2:$C$1000&lt;&gt;"")*(YEAR('LOG VẮNG'!$C$2:$C$1000)=2026)*(MONTH('LOG VẮNG'!$C$2:$C$1000)=1)*ISNUMBER(SEARCH($A60,'LOG VẮNG'!$D$2:$D$1000))))</f>
        <v/>
      </c>
      <c r="D60" s="40">
        <f>IF($B60="","",SUMPRODUCT(('LOG VẮNG'!$C$2:$C$1000&lt;&gt;"")*(YEAR('LOG VẮNG'!$C$2:$C$1000)=2026)*(MONTH('LOG VẮNG'!$C$2:$C$1000)=2)*ISNUMBER(SEARCH($A60,'LOG VẮNG'!$D$2:$D$1000))))</f>
        <v/>
      </c>
      <c r="E60" s="40">
        <f>IF($B60="","",SUMPRODUCT(('LOG VẮNG'!$C$2:$C$1000&lt;&gt;"")*(YEAR('LOG VẮNG'!$C$2:$C$1000)=2026)*(MONTH('LOG VẮNG'!$C$2:$C$1000)=3)*ISNUMBER(SEARCH($A60,'LOG VẮNG'!$D$2:$D$1000))))</f>
        <v/>
      </c>
      <c r="F60" s="40">
        <f>IF($B60="","",SUMPRODUCT(('LOG VẮNG'!$C$2:$C$1000&lt;&gt;"")*(YEAR('LOG VẮNG'!$C$2:$C$1000)=2026)*(MONTH('LOG VẮNG'!$C$2:$C$1000)=4)*ISNUMBER(SEARCH($A60,'LOG VẮNG'!$D$2:$D$1000))))</f>
        <v/>
      </c>
      <c r="G60" s="40">
        <f>IF($B60="","",SUMPRODUCT(('LOG VẮNG'!$C$2:$C$1000&lt;&gt;"")*(YEAR('LOG VẮNG'!$C$2:$C$1000)=2026)*(MONTH('LOG VẮNG'!$C$2:$C$1000)=5)*ISNUMBER(SEARCH($A60,'LOG VẮNG'!$D$2:$D$1000))))</f>
        <v/>
      </c>
      <c r="H60" s="40">
        <f>IF($B60="","",SUMPRODUCT(('LOG VẮNG'!$C$2:$C$1000&lt;&gt;"")*(YEAR('LOG VẮNG'!$C$2:$C$1000)=2026)*(MONTH('LOG VẮNG'!$C$2:$C$1000)=6)*ISNUMBER(SEARCH($A60,'LOG VẮNG'!$D$2:$D$1000))))</f>
        <v/>
      </c>
      <c r="I60" s="40">
        <f>IF($B60="","",SUMPRODUCT(('LOG VẮNG'!$C$2:$C$1000&lt;&gt;"")*(YEAR('LOG VẮNG'!$C$2:$C$1000)=2026)*(MONTH('LOG VẮNG'!$C$2:$C$1000)=7)*ISNUMBER(SEARCH($A60,'LOG VẮNG'!$D$2:$D$1000))))</f>
        <v/>
      </c>
      <c r="J60" s="40">
        <f>IF($B60="","",SUMPRODUCT(('LOG VẮNG'!$C$2:$C$1000&lt;&gt;"")*(YEAR('LOG VẮNG'!$C$2:$C$1000)=2026)*(MONTH('LOG VẮNG'!$C$2:$C$1000)=8)*ISNUMBER(SEARCH($A60,'LOG VẮNG'!$D$2:$D$1000))))</f>
        <v/>
      </c>
      <c r="K60" s="40">
        <f>IF($B60="","",SUMPRODUCT(('LOG VẮNG'!$C$2:$C$1000&lt;&gt;"")*(YEAR('LOG VẮNG'!$C$2:$C$1000)=2026)*(MONTH('LOG VẮNG'!$C$2:$C$1000)=9)*ISNUMBER(SEARCH($A60,'LOG VẮNG'!$D$2:$D$1000))))</f>
        <v/>
      </c>
      <c r="L60" s="40">
        <f>IF($B60="","",SUMPRODUCT(('LOG VẮNG'!$C$2:$C$1000&lt;&gt;"")*(YEAR('LOG VẮNG'!$C$2:$C$1000)=2026)*(MONTH('LOG VẮNG'!$C$2:$C$1000)=10)*ISNUMBER(SEARCH($A60,'LOG VẮNG'!$D$2:$D$1000))))</f>
        <v/>
      </c>
      <c r="M60" s="40">
        <f>IF($B60="","",SUMPRODUCT(('LOG VẮNG'!$C$2:$C$1000&lt;&gt;"")*(YEAR('LOG VẮNG'!$C$2:$C$1000)=2026)*(MONTH('LOG VẮNG'!$C$2:$C$1000)=11)*ISNUMBER(SEARCH($A60,'LOG VẮNG'!$D$2:$D$1000))))</f>
        <v/>
      </c>
      <c r="N60" s="40">
        <f>IF($B60="","",SUMPRODUCT(('LOG VẮNG'!$C$2:$C$1000&lt;&gt;"")*(YEAR('LOG VẮNG'!$C$2:$C$1000)=2026)*(MONTH('LOG VẮNG'!$C$2:$C$1000)=12)*ISNUMBER(SEARCH($A60,'LOG VẮNG'!$D$2:$D$1000))))</f>
        <v/>
      </c>
      <c r="O60" s="40">
        <f>IF($B60="","",SUM(C60:N60))</f>
        <v/>
      </c>
    </row>
    <row r="61">
      <c r="A61" s="40" t="inlineStr">
        <is>
          <t>ORI059</t>
        </is>
      </c>
      <c r="B61" s="46">
        <f>IFERROR(INDEX('HỌC VIÊN'!$B$4:$B$203,MATCH($A61,'HỌC VIÊN'!$A$4:$A$203,0)),"")</f>
        <v/>
      </c>
      <c r="C61" s="40">
        <f>IF($B61="","",SUMPRODUCT(('LOG VẮNG'!$C$2:$C$1000&lt;&gt;"")*(YEAR('LOG VẮNG'!$C$2:$C$1000)=2026)*(MONTH('LOG VẮNG'!$C$2:$C$1000)=1)*ISNUMBER(SEARCH($A61,'LOG VẮNG'!$D$2:$D$1000))))</f>
        <v/>
      </c>
      <c r="D61" s="40">
        <f>IF($B61="","",SUMPRODUCT(('LOG VẮNG'!$C$2:$C$1000&lt;&gt;"")*(YEAR('LOG VẮNG'!$C$2:$C$1000)=2026)*(MONTH('LOG VẮNG'!$C$2:$C$1000)=2)*ISNUMBER(SEARCH($A61,'LOG VẮNG'!$D$2:$D$1000))))</f>
        <v/>
      </c>
      <c r="E61" s="40">
        <f>IF($B61="","",SUMPRODUCT(('LOG VẮNG'!$C$2:$C$1000&lt;&gt;"")*(YEAR('LOG VẮNG'!$C$2:$C$1000)=2026)*(MONTH('LOG VẮNG'!$C$2:$C$1000)=3)*ISNUMBER(SEARCH($A61,'LOG VẮNG'!$D$2:$D$1000))))</f>
        <v/>
      </c>
      <c r="F61" s="40">
        <f>IF($B61="","",SUMPRODUCT(('LOG VẮNG'!$C$2:$C$1000&lt;&gt;"")*(YEAR('LOG VẮNG'!$C$2:$C$1000)=2026)*(MONTH('LOG VẮNG'!$C$2:$C$1000)=4)*ISNUMBER(SEARCH($A61,'LOG VẮNG'!$D$2:$D$1000))))</f>
        <v/>
      </c>
      <c r="G61" s="40">
        <f>IF($B61="","",SUMPRODUCT(('LOG VẮNG'!$C$2:$C$1000&lt;&gt;"")*(YEAR('LOG VẮNG'!$C$2:$C$1000)=2026)*(MONTH('LOG VẮNG'!$C$2:$C$1000)=5)*ISNUMBER(SEARCH($A61,'LOG VẮNG'!$D$2:$D$1000))))</f>
        <v/>
      </c>
      <c r="H61" s="40">
        <f>IF($B61="","",SUMPRODUCT(('LOG VẮNG'!$C$2:$C$1000&lt;&gt;"")*(YEAR('LOG VẮNG'!$C$2:$C$1000)=2026)*(MONTH('LOG VẮNG'!$C$2:$C$1000)=6)*ISNUMBER(SEARCH($A61,'LOG VẮNG'!$D$2:$D$1000))))</f>
        <v/>
      </c>
      <c r="I61" s="40">
        <f>IF($B61="","",SUMPRODUCT(('LOG VẮNG'!$C$2:$C$1000&lt;&gt;"")*(YEAR('LOG VẮNG'!$C$2:$C$1000)=2026)*(MONTH('LOG VẮNG'!$C$2:$C$1000)=7)*ISNUMBER(SEARCH($A61,'LOG VẮNG'!$D$2:$D$1000))))</f>
        <v/>
      </c>
      <c r="J61" s="40">
        <f>IF($B61="","",SUMPRODUCT(('LOG VẮNG'!$C$2:$C$1000&lt;&gt;"")*(YEAR('LOG VẮNG'!$C$2:$C$1000)=2026)*(MONTH('LOG VẮNG'!$C$2:$C$1000)=8)*ISNUMBER(SEARCH($A61,'LOG VẮNG'!$D$2:$D$1000))))</f>
        <v/>
      </c>
      <c r="K61" s="40">
        <f>IF($B61="","",SUMPRODUCT(('LOG VẮNG'!$C$2:$C$1000&lt;&gt;"")*(YEAR('LOG VẮNG'!$C$2:$C$1000)=2026)*(MONTH('LOG VẮNG'!$C$2:$C$1000)=9)*ISNUMBER(SEARCH($A61,'LOG VẮNG'!$D$2:$D$1000))))</f>
        <v/>
      </c>
      <c r="L61" s="40">
        <f>IF($B61="","",SUMPRODUCT(('LOG VẮNG'!$C$2:$C$1000&lt;&gt;"")*(YEAR('LOG VẮNG'!$C$2:$C$1000)=2026)*(MONTH('LOG VẮNG'!$C$2:$C$1000)=10)*ISNUMBER(SEARCH($A61,'LOG VẮNG'!$D$2:$D$1000))))</f>
        <v/>
      </c>
      <c r="M61" s="40">
        <f>IF($B61="","",SUMPRODUCT(('LOG VẮNG'!$C$2:$C$1000&lt;&gt;"")*(YEAR('LOG VẮNG'!$C$2:$C$1000)=2026)*(MONTH('LOG VẮNG'!$C$2:$C$1000)=11)*ISNUMBER(SEARCH($A61,'LOG VẮNG'!$D$2:$D$1000))))</f>
        <v/>
      </c>
      <c r="N61" s="40">
        <f>IF($B61="","",SUMPRODUCT(('LOG VẮNG'!$C$2:$C$1000&lt;&gt;"")*(YEAR('LOG VẮNG'!$C$2:$C$1000)=2026)*(MONTH('LOG VẮNG'!$C$2:$C$1000)=12)*ISNUMBER(SEARCH($A61,'LOG VẮNG'!$D$2:$D$1000))))</f>
        <v/>
      </c>
      <c r="O61" s="40">
        <f>IF($B61="","",SUM(C61:N61))</f>
        <v/>
      </c>
    </row>
    <row r="62">
      <c r="A62" s="40" t="inlineStr">
        <is>
          <t>ORI060</t>
        </is>
      </c>
      <c r="B62" s="46">
        <f>IFERROR(INDEX('HỌC VIÊN'!$B$4:$B$203,MATCH($A62,'HỌC VIÊN'!$A$4:$A$203,0)),"")</f>
        <v/>
      </c>
      <c r="C62" s="40">
        <f>IF($B62="","",SUMPRODUCT(('LOG VẮNG'!$C$2:$C$1000&lt;&gt;"")*(YEAR('LOG VẮNG'!$C$2:$C$1000)=2026)*(MONTH('LOG VẮNG'!$C$2:$C$1000)=1)*ISNUMBER(SEARCH($A62,'LOG VẮNG'!$D$2:$D$1000))))</f>
        <v/>
      </c>
      <c r="D62" s="40">
        <f>IF($B62="","",SUMPRODUCT(('LOG VẮNG'!$C$2:$C$1000&lt;&gt;"")*(YEAR('LOG VẮNG'!$C$2:$C$1000)=2026)*(MONTH('LOG VẮNG'!$C$2:$C$1000)=2)*ISNUMBER(SEARCH($A62,'LOG VẮNG'!$D$2:$D$1000))))</f>
        <v/>
      </c>
      <c r="E62" s="40">
        <f>IF($B62="","",SUMPRODUCT(('LOG VẮNG'!$C$2:$C$1000&lt;&gt;"")*(YEAR('LOG VẮNG'!$C$2:$C$1000)=2026)*(MONTH('LOG VẮNG'!$C$2:$C$1000)=3)*ISNUMBER(SEARCH($A62,'LOG VẮNG'!$D$2:$D$1000))))</f>
        <v/>
      </c>
      <c r="F62" s="40">
        <f>IF($B62="","",SUMPRODUCT(('LOG VẮNG'!$C$2:$C$1000&lt;&gt;"")*(YEAR('LOG VẮNG'!$C$2:$C$1000)=2026)*(MONTH('LOG VẮNG'!$C$2:$C$1000)=4)*ISNUMBER(SEARCH($A62,'LOG VẮNG'!$D$2:$D$1000))))</f>
        <v/>
      </c>
      <c r="G62" s="40">
        <f>IF($B62="","",SUMPRODUCT(('LOG VẮNG'!$C$2:$C$1000&lt;&gt;"")*(YEAR('LOG VẮNG'!$C$2:$C$1000)=2026)*(MONTH('LOG VẮNG'!$C$2:$C$1000)=5)*ISNUMBER(SEARCH($A62,'LOG VẮNG'!$D$2:$D$1000))))</f>
        <v/>
      </c>
      <c r="H62" s="40">
        <f>IF($B62="","",SUMPRODUCT(('LOG VẮNG'!$C$2:$C$1000&lt;&gt;"")*(YEAR('LOG VẮNG'!$C$2:$C$1000)=2026)*(MONTH('LOG VẮNG'!$C$2:$C$1000)=6)*ISNUMBER(SEARCH($A62,'LOG VẮNG'!$D$2:$D$1000))))</f>
        <v/>
      </c>
      <c r="I62" s="40">
        <f>IF($B62="","",SUMPRODUCT(('LOG VẮNG'!$C$2:$C$1000&lt;&gt;"")*(YEAR('LOG VẮNG'!$C$2:$C$1000)=2026)*(MONTH('LOG VẮNG'!$C$2:$C$1000)=7)*ISNUMBER(SEARCH($A62,'LOG VẮNG'!$D$2:$D$1000))))</f>
        <v/>
      </c>
      <c r="J62" s="40">
        <f>IF($B62="","",SUMPRODUCT(('LOG VẮNG'!$C$2:$C$1000&lt;&gt;"")*(YEAR('LOG VẮNG'!$C$2:$C$1000)=2026)*(MONTH('LOG VẮNG'!$C$2:$C$1000)=8)*ISNUMBER(SEARCH($A62,'LOG VẮNG'!$D$2:$D$1000))))</f>
        <v/>
      </c>
      <c r="K62" s="40">
        <f>IF($B62="","",SUMPRODUCT(('LOG VẮNG'!$C$2:$C$1000&lt;&gt;"")*(YEAR('LOG VẮNG'!$C$2:$C$1000)=2026)*(MONTH('LOG VẮNG'!$C$2:$C$1000)=9)*ISNUMBER(SEARCH($A62,'LOG VẮNG'!$D$2:$D$1000))))</f>
        <v/>
      </c>
      <c r="L62" s="40">
        <f>IF($B62="","",SUMPRODUCT(('LOG VẮNG'!$C$2:$C$1000&lt;&gt;"")*(YEAR('LOG VẮNG'!$C$2:$C$1000)=2026)*(MONTH('LOG VẮNG'!$C$2:$C$1000)=10)*ISNUMBER(SEARCH($A62,'LOG VẮNG'!$D$2:$D$1000))))</f>
        <v/>
      </c>
      <c r="M62" s="40">
        <f>IF($B62="","",SUMPRODUCT(('LOG VẮNG'!$C$2:$C$1000&lt;&gt;"")*(YEAR('LOG VẮNG'!$C$2:$C$1000)=2026)*(MONTH('LOG VẮNG'!$C$2:$C$1000)=11)*ISNUMBER(SEARCH($A62,'LOG VẮNG'!$D$2:$D$1000))))</f>
        <v/>
      </c>
      <c r="N62" s="40">
        <f>IF($B62="","",SUMPRODUCT(('LOG VẮNG'!$C$2:$C$1000&lt;&gt;"")*(YEAR('LOG VẮNG'!$C$2:$C$1000)=2026)*(MONTH('LOG VẮNG'!$C$2:$C$1000)=12)*ISNUMBER(SEARCH($A62,'LOG VẮNG'!$D$2:$D$1000))))</f>
        <v/>
      </c>
      <c r="O62" s="40">
        <f>IF($B62="","",SUM(C62:N62))</f>
        <v/>
      </c>
    </row>
    <row r="63">
      <c r="A63" s="40" t="inlineStr">
        <is>
          <t>ORI061</t>
        </is>
      </c>
      <c r="B63" s="46">
        <f>IFERROR(INDEX('HỌC VIÊN'!$B$4:$B$203,MATCH($A63,'HỌC VIÊN'!$A$4:$A$203,0)),"")</f>
        <v/>
      </c>
      <c r="C63" s="40">
        <f>IF($B63="","",SUMPRODUCT(('LOG VẮNG'!$C$2:$C$1000&lt;&gt;"")*(YEAR('LOG VẮNG'!$C$2:$C$1000)=2026)*(MONTH('LOG VẮNG'!$C$2:$C$1000)=1)*ISNUMBER(SEARCH($A63,'LOG VẮNG'!$D$2:$D$1000))))</f>
        <v/>
      </c>
      <c r="D63" s="40">
        <f>IF($B63="","",SUMPRODUCT(('LOG VẮNG'!$C$2:$C$1000&lt;&gt;"")*(YEAR('LOG VẮNG'!$C$2:$C$1000)=2026)*(MONTH('LOG VẮNG'!$C$2:$C$1000)=2)*ISNUMBER(SEARCH($A63,'LOG VẮNG'!$D$2:$D$1000))))</f>
        <v/>
      </c>
      <c r="E63" s="40">
        <f>IF($B63="","",SUMPRODUCT(('LOG VẮNG'!$C$2:$C$1000&lt;&gt;"")*(YEAR('LOG VẮNG'!$C$2:$C$1000)=2026)*(MONTH('LOG VẮNG'!$C$2:$C$1000)=3)*ISNUMBER(SEARCH($A63,'LOG VẮNG'!$D$2:$D$1000))))</f>
        <v/>
      </c>
      <c r="F63" s="40">
        <f>IF($B63="","",SUMPRODUCT(('LOG VẮNG'!$C$2:$C$1000&lt;&gt;"")*(YEAR('LOG VẮNG'!$C$2:$C$1000)=2026)*(MONTH('LOG VẮNG'!$C$2:$C$1000)=4)*ISNUMBER(SEARCH($A63,'LOG VẮNG'!$D$2:$D$1000))))</f>
        <v/>
      </c>
      <c r="G63" s="40">
        <f>IF($B63="","",SUMPRODUCT(('LOG VẮNG'!$C$2:$C$1000&lt;&gt;"")*(YEAR('LOG VẮNG'!$C$2:$C$1000)=2026)*(MONTH('LOG VẮNG'!$C$2:$C$1000)=5)*ISNUMBER(SEARCH($A63,'LOG VẮNG'!$D$2:$D$1000))))</f>
        <v/>
      </c>
      <c r="H63" s="40">
        <f>IF($B63="","",SUMPRODUCT(('LOG VẮNG'!$C$2:$C$1000&lt;&gt;"")*(YEAR('LOG VẮNG'!$C$2:$C$1000)=2026)*(MONTH('LOG VẮNG'!$C$2:$C$1000)=6)*ISNUMBER(SEARCH($A63,'LOG VẮNG'!$D$2:$D$1000))))</f>
        <v/>
      </c>
      <c r="I63" s="40">
        <f>IF($B63="","",SUMPRODUCT(('LOG VẮNG'!$C$2:$C$1000&lt;&gt;"")*(YEAR('LOG VẮNG'!$C$2:$C$1000)=2026)*(MONTH('LOG VẮNG'!$C$2:$C$1000)=7)*ISNUMBER(SEARCH($A63,'LOG VẮNG'!$D$2:$D$1000))))</f>
        <v/>
      </c>
      <c r="J63" s="40">
        <f>IF($B63="","",SUMPRODUCT(('LOG VẮNG'!$C$2:$C$1000&lt;&gt;"")*(YEAR('LOG VẮNG'!$C$2:$C$1000)=2026)*(MONTH('LOG VẮNG'!$C$2:$C$1000)=8)*ISNUMBER(SEARCH($A63,'LOG VẮNG'!$D$2:$D$1000))))</f>
        <v/>
      </c>
      <c r="K63" s="40">
        <f>IF($B63="","",SUMPRODUCT(('LOG VẮNG'!$C$2:$C$1000&lt;&gt;"")*(YEAR('LOG VẮNG'!$C$2:$C$1000)=2026)*(MONTH('LOG VẮNG'!$C$2:$C$1000)=9)*ISNUMBER(SEARCH($A63,'LOG VẮNG'!$D$2:$D$1000))))</f>
        <v/>
      </c>
      <c r="L63" s="40">
        <f>IF($B63="","",SUMPRODUCT(('LOG VẮNG'!$C$2:$C$1000&lt;&gt;"")*(YEAR('LOG VẮNG'!$C$2:$C$1000)=2026)*(MONTH('LOG VẮNG'!$C$2:$C$1000)=10)*ISNUMBER(SEARCH($A63,'LOG VẮNG'!$D$2:$D$1000))))</f>
        <v/>
      </c>
      <c r="M63" s="40">
        <f>IF($B63="","",SUMPRODUCT(('LOG VẮNG'!$C$2:$C$1000&lt;&gt;"")*(YEAR('LOG VẮNG'!$C$2:$C$1000)=2026)*(MONTH('LOG VẮNG'!$C$2:$C$1000)=11)*ISNUMBER(SEARCH($A63,'LOG VẮNG'!$D$2:$D$1000))))</f>
        <v/>
      </c>
      <c r="N63" s="40">
        <f>IF($B63="","",SUMPRODUCT(('LOG VẮNG'!$C$2:$C$1000&lt;&gt;"")*(YEAR('LOG VẮNG'!$C$2:$C$1000)=2026)*(MONTH('LOG VẮNG'!$C$2:$C$1000)=12)*ISNUMBER(SEARCH($A63,'LOG VẮNG'!$D$2:$D$1000))))</f>
        <v/>
      </c>
      <c r="O63" s="40">
        <f>IF($B63="","",SUM(C63:N63))</f>
        <v/>
      </c>
    </row>
    <row r="64">
      <c r="A64" s="40" t="inlineStr">
        <is>
          <t>ORI062</t>
        </is>
      </c>
      <c r="B64" s="46">
        <f>IFERROR(INDEX('HỌC VIÊN'!$B$4:$B$203,MATCH($A64,'HỌC VIÊN'!$A$4:$A$203,0)),"")</f>
        <v/>
      </c>
      <c r="C64" s="40">
        <f>IF($B64="","",SUMPRODUCT(('LOG VẮNG'!$C$2:$C$1000&lt;&gt;"")*(YEAR('LOG VẮNG'!$C$2:$C$1000)=2026)*(MONTH('LOG VẮNG'!$C$2:$C$1000)=1)*ISNUMBER(SEARCH($A64,'LOG VẮNG'!$D$2:$D$1000))))</f>
        <v/>
      </c>
      <c r="D64" s="40">
        <f>IF($B64="","",SUMPRODUCT(('LOG VẮNG'!$C$2:$C$1000&lt;&gt;"")*(YEAR('LOG VẮNG'!$C$2:$C$1000)=2026)*(MONTH('LOG VẮNG'!$C$2:$C$1000)=2)*ISNUMBER(SEARCH($A64,'LOG VẮNG'!$D$2:$D$1000))))</f>
        <v/>
      </c>
      <c r="E64" s="40">
        <f>IF($B64="","",SUMPRODUCT(('LOG VẮNG'!$C$2:$C$1000&lt;&gt;"")*(YEAR('LOG VẮNG'!$C$2:$C$1000)=2026)*(MONTH('LOG VẮNG'!$C$2:$C$1000)=3)*ISNUMBER(SEARCH($A64,'LOG VẮNG'!$D$2:$D$1000))))</f>
        <v/>
      </c>
      <c r="F64" s="40">
        <f>IF($B64="","",SUMPRODUCT(('LOG VẮNG'!$C$2:$C$1000&lt;&gt;"")*(YEAR('LOG VẮNG'!$C$2:$C$1000)=2026)*(MONTH('LOG VẮNG'!$C$2:$C$1000)=4)*ISNUMBER(SEARCH($A64,'LOG VẮNG'!$D$2:$D$1000))))</f>
        <v/>
      </c>
      <c r="G64" s="40">
        <f>IF($B64="","",SUMPRODUCT(('LOG VẮNG'!$C$2:$C$1000&lt;&gt;"")*(YEAR('LOG VẮNG'!$C$2:$C$1000)=2026)*(MONTH('LOG VẮNG'!$C$2:$C$1000)=5)*ISNUMBER(SEARCH($A64,'LOG VẮNG'!$D$2:$D$1000))))</f>
        <v/>
      </c>
      <c r="H64" s="40">
        <f>IF($B64="","",SUMPRODUCT(('LOG VẮNG'!$C$2:$C$1000&lt;&gt;"")*(YEAR('LOG VẮNG'!$C$2:$C$1000)=2026)*(MONTH('LOG VẮNG'!$C$2:$C$1000)=6)*ISNUMBER(SEARCH($A64,'LOG VẮNG'!$D$2:$D$1000))))</f>
        <v/>
      </c>
      <c r="I64" s="40">
        <f>IF($B64="","",SUMPRODUCT(('LOG VẮNG'!$C$2:$C$1000&lt;&gt;"")*(YEAR('LOG VẮNG'!$C$2:$C$1000)=2026)*(MONTH('LOG VẮNG'!$C$2:$C$1000)=7)*ISNUMBER(SEARCH($A64,'LOG VẮNG'!$D$2:$D$1000))))</f>
        <v/>
      </c>
      <c r="J64" s="40">
        <f>IF($B64="","",SUMPRODUCT(('LOG VẮNG'!$C$2:$C$1000&lt;&gt;"")*(YEAR('LOG VẮNG'!$C$2:$C$1000)=2026)*(MONTH('LOG VẮNG'!$C$2:$C$1000)=8)*ISNUMBER(SEARCH($A64,'LOG VẮNG'!$D$2:$D$1000))))</f>
        <v/>
      </c>
      <c r="K64" s="40">
        <f>IF($B64="","",SUMPRODUCT(('LOG VẮNG'!$C$2:$C$1000&lt;&gt;"")*(YEAR('LOG VẮNG'!$C$2:$C$1000)=2026)*(MONTH('LOG VẮNG'!$C$2:$C$1000)=9)*ISNUMBER(SEARCH($A64,'LOG VẮNG'!$D$2:$D$1000))))</f>
        <v/>
      </c>
      <c r="L64" s="40">
        <f>IF($B64="","",SUMPRODUCT(('LOG VẮNG'!$C$2:$C$1000&lt;&gt;"")*(YEAR('LOG VẮNG'!$C$2:$C$1000)=2026)*(MONTH('LOG VẮNG'!$C$2:$C$1000)=10)*ISNUMBER(SEARCH($A64,'LOG VẮNG'!$D$2:$D$1000))))</f>
        <v/>
      </c>
      <c r="M64" s="40">
        <f>IF($B64="","",SUMPRODUCT(('LOG VẮNG'!$C$2:$C$1000&lt;&gt;"")*(YEAR('LOG VẮNG'!$C$2:$C$1000)=2026)*(MONTH('LOG VẮNG'!$C$2:$C$1000)=11)*ISNUMBER(SEARCH($A64,'LOG VẮNG'!$D$2:$D$1000))))</f>
        <v/>
      </c>
      <c r="N64" s="40">
        <f>IF($B64="","",SUMPRODUCT(('LOG VẮNG'!$C$2:$C$1000&lt;&gt;"")*(YEAR('LOG VẮNG'!$C$2:$C$1000)=2026)*(MONTH('LOG VẮNG'!$C$2:$C$1000)=12)*ISNUMBER(SEARCH($A64,'LOG VẮNG'!$D$2:$D$1000))))</f>
        <v/>
      </c>
      <c r="O64" s="40">
        <f>IF($B64="","",SUM(C64:N64))</f>
        <v/>
      </c>
    </row>
    <row r="65">
      <c r="A65" s="40" t="inlineStr">
        <is>
          <t>ORI063</t>
        </is>
      </c>
      <c r="B65" s="46">
        <f>IFERROR(INDEX('HỌC VIÊN'!$B$4:$B$203,MATCH($A65,'HỌC VIÊN'!$A$4:$A$203,0)),"")</f>
        <v/>
      </c>
      <c r="C65" s="40">
        <f>IF($B65="","",SUMPRODUCT(('LOG VẮNG'!$C$2:$C$1000&lt;&gt;"")*(YEAR('LOG VẮNG'!$C$2:$C$1000)=2026)*(MONTH('LOG VẮNG'!$C$2:$C$1000)=1)*ISNUMBER(SEARCH($A65,'LOG VẮNG'!$D$2:$D$1000))))</f>
        <v/>
      </c>
      <c r="D65" s="40">
        <f>IF($B65="","",SUMPRODUCT(('LOG VẮNG'!$C$2:$C$1000&lt;&gt;"")*(YEAR('LOG VẮNG'!$C$2:$C$1000)=2026)*(MONTH('LOG VẮNG'!$C$2:$C$1000)=2)*ISNUMBER(SEARCH($A65,'LOG VẮNG'!$D$2:$D$1000))))</f>
        <v/>
      </c>
      <c r="E65" s="40">
        <f>IF($B65="","",SUMPRODUCT(('LOG VẮNG'!$C$2:$C$1000&lt;&gt;"")*(YEAR('LOG VẮNG'!$C$2:$C$1000)=2026)*(MONTH('LOG VẮNG'!$C$2:$C$1000)=3)*ISNUMBER(SEARCH($A65,'LOG VẮNG'!$D$2:$D$1000))))</f>
        <v/>
      </c>
      <c r="F65" s="40">
        <f>IF($B65="","",SUMPRODUCT(('LOG VẮNG'!$C$2:$C$1000&lt;&gt;"")*(YEAR('LOG VẮNG'!$C$2:$C$1000)=2026)*(MONTH('LOG VẮNG'!$C$2:$C$1000)=4)*ISNUMBER(SEARCH($A65,'LOG VẮNG'!$D$2:$D$1000))))</f>
        <v/>
      </c>
      <c r="G65" s="40">
        <f>IF($B65="","",SUMPRODUCT(('LOG VẮNG'!$C$2:$C$1000&lt;&gt;"")*(YEAR('LOG VẮNG'!$C$2:$C$1000)=2026)*(MONTH('LOG VẮNG'!$C$2:$C$1000)=5)*ISNUMBER(SEARCH($A65,'LOG VẮNG'!$D$2:$D$1000))))</f>
        <v/>
      </c>
      <c r="H65" s="40">
        <f>IF($B65="","",SUMPRODUCT(('LOG VẮNG'!$C$2:$C$1000&lt;&gt;"")*(YEAR('LOG VẮNG'!$C$2:$C$1000)=2026)*(MONTH('LOG VẮNG'!$C$2:$C$1000)=6)*ISNUMBER(SEARCH($A65,'LOG VẮNG'!$D$2:$D$1000))))</f>
        <v/>
      </c>
      <c r="I65" s="40">
        <f>IF($B65="","",SUMPRODUCT(('LOG VẮNG'!$C$2:$C$1000&lt;&gt;"")*(YEAR('LOG VẮNG'!$C$2:$C$1000)=2026)*(MONTH('LOG VẮNG'!$C$2:$C$1000)=7)*ISNUMBER(SEARCH($A65,'LOG VẮNG'!$D$2:$D$1000))))</f>
        <v/>
      </c>
      <c r="J65" s="40">
        <f>IF($B65="","",SUMPRODUCT(('LOG VẮNG'!$C$2:$C$1000&lt;&gt;"")*(YEAR('LOG VẮNG'!$C$2:$C$1000)=2026)*(MONTH('LOG VẮNG'!$C$2:$C$1000)=8)*ISNUMBER(SEARCH($A65,'LOG VẮNG'!$D$2:$D$1000))))</f>
        <v/>
      </c>
      <c r="K65" s="40">
        <f>IF($B65="","",SUMPRODUCT(('LOG VẮNG'!$C$2:$C$1000&lt;&gt;"")*(YEAR('LOG VẮNG'!$C$2:$C$1000)=2026)*(MONTH('LOG VẮNG'!$C$2:$C$1000)=9)*ISNUMBER(SEARCH($A65,'LOG VẮNG'!$D$2:$D$1000))))</f>
        <v/>
      </c>
      <c r="L65" s="40">
        <f>IF($B65="","",SUMPRODUCT(('LOG VẮNG'!$C$2:$C$1000&lt;&gt;"")*(YEAR('LOG VẮNG'!$C$2:$C$1000)=2026)*(MONTH('LOG VẮNG'!$C$2:$C$1000)=10)*ISNUMBER(SEARCH($A65,'LOG VẮNG'!$D$2:$D$1000))))</f>
        <v/>
      </c>
      <c r="M65" s="40">
        <f>IF($B65="","",SUMPRODUCT(('LOG VẮNG'!$C$2:$C$1000&lt;&gt;"")*(YEAR('LOG VẮNG'!$C$2:$C$1000)=2026)*(MONTH('LOG VẮNG'!$C$2:$C$1000)=11)*ISNUMBER(SEARCH($A65,'LOG VẮNG'!$D$2:$D$1000))))</f>
        <v/>
      </c>
      <c r="N65" s="40">
        <f>IF($B65="","",SUMPRODUCT(('LOG VẮNG'!$C$2:$C$1000&lt;&gt;"")*(YEAR('LOG VẮNG'!$C$2:$C$1000)=2026)*(MONTH('LOG VẮNG'!$C$2:$C$1000)=12)*ISNUMBER(SEARCH($A65,'LOG VẮNG'!$D$2:$D$1000))))</f>
        <v/>
      </c>
      <c r="O65" s="40">
        <f>IF($B65="","",SUM(C65:N65))</f>
        <v/>
      </c>
    </row>
    <row r="66">
      <c r="A66" s="40" t="inlineStr">
        <is>
          <t>ORI064</t>
        </is>
      </c>
      <c r="B66" s="46">
        <f>IFERROR(INDEX('HỌC VIÊN'!$B$4:$B$203,MATCH($A66,'HỌC VIÊN'!$A$4:$A$203,0)),"")</f>
        <v/>
      </c>
      <c r="C66" s="40">
        <f>IF($B66="","",SUMPRODUCT(('LOG VẮNG'!$C$2:$C$1000&lt;&gt;"")*(YEAR('LOG VẮNG'!$C$2:$C$1000)=2026)*(MONTH('LOG VẮNG'!$C$2:$C$1000)=1)*ISNUMBER(SEARCH($A66,'LOG VẮNG'!$D$2:$D$1000))))</f>
        <v/>
      </c>
      <c r="D66" s="40">
        <f>IF($B66="","",SUMPRODUCT(('LOG VẮNG'!$C$2:$C$1000&lt;&gt;"")*(YEAR('LOG VẮNG'!$C$2:$C$1000)=2026)*(MONTH('LOG VẮNG'!$C$2:$C$1000)=2)*ISNUMBER(SEARCH($A66,'LOG VẮNG'!$D$2:$D$1000))))</f>
        <v/>
      </c>
      <c r="E66" s="40">
        <f>IF($B66="","",SUMPRODUCT(('LOG VẮNG'!$C$2:$C$1000&lt;&gt;"")*(YEAR('LOG VẮNG'!$C$2:$C$1000)=2026)*(MONTH('LOG VẮNG'!$C$2:$C$1000)=3)*ISNUMBER(SEARCH($A66,'LOG VẮNG'!$D$2:$D$1000))))</f>
        <v/>
      </c>
      <c r="F66" s="40">
        <f>IF($B66="","",SUMPRODUCT(('LOG VẮNG'!$C$2:$C$1000&lt;&gt;"")*(YEAR('LOG VẮNG'!$C$2:$C$1000)=2026)*(MONTH('LOG VẮNG'!$C$2:$C$1000)=4)*ISNUMBER(SEARCH($A66,'LOG VẮNG'!$D$2:$D$1000))))</f>
        <v/>
      </c>
      <c r="G66" s="40">
        <f>IF($B66="","",SUMPRODUCT(('LOG VẮNG'!$C$2:$C$1000&lt;&gt;"")*(YEAR('LOG VẮNG'!$C$2:$C$1000)=2026)*(MONTH('LOG VẮNG'!$C$2:$C$1000)=5)*ISNUMBER(SEARCH($A66,'LOG VẮNG'!$D$2:$D$1000))))</f>
        <v/>
      </c>
      <c r="H66" s="40">
        <f>IF($B66="","",SUMPRODUCT(('LOG VẮNG'!$C$2:$C$1000&lt;&gt;"")*(YEAR('LOG VẮNG'!$C$2:$C$1000)=2026)*(MONTH('LOG VẮNG'!$C$2:$C$1000)=6)*ISNUMBER(SEARCH($A66,'LOG VẮNG'!$D$2:$D$1000))))</f>
        <v/>
      </c>
      <c r="I66" s="40">
        <f>IF($B66="","",SUMPRODUCT(('LOG VẮNG'!$C$2:$C$1000&lt;&gt;"")*(YEAR('LOG VẮNG'!$C$2:$C$1000)=2026)*(MONTH('LOG VẮNG'!$C$2:$C$1000)=7)*ISNUMBER(SEARCH($A66,'LOG VẮNG'!$D$2:$D$1000))))</f>
        <v/>
      </c>
      <c r="J66" s="40">
        <f>IF($B66="","",SUMPRODUCT(('LOG VẮNG'!$C$2:$C$1000&lt;&gt;"")*(YEAR('LOG VẮNG'!$C$2:$C$1000)=2026)*(MONTH('LOG VẮNG'!$C$2:$C$1000)=8)*ISNUMBER(SEARCH($A66,'LOG VẮNG'!$D$2:$D$1000))))</f>
        <v/>
      </c>
      <c r="K66" s="40">
        <f>IF($B66="","",SUMPRODUCT(('LOG VẮNG'!$C$2:$C$1000&lt;&gt;"")*(YEAR('LOG VẮNG'!$C$2:$C$1000)=2026)*(MONTH('LOG VẮNG'!$C$2:$C$1000)=9)*ISNUMBER(SEARCH($A66,'LOG VẮNG'!$D$2:$D$1000))))</f>
        <v/>
      </c>
      <c r="L66" s="40">
        <f>IF($B66="","",SUMPRODUCT(('LOG VẮNG'!$C$2:$C$1000&lt;&gt;"")*(YEAR('LOG VẮNG'!$C$2:$C$1000)=2026)*(MONTH('LOG VẮNG'!$C$2:$C$1000)=10)*ISNUMBER(SEARCH($A66,'LOG VẮNG'!$D$2:$D$1000))))</f>
        <v/>
      </c>
      <c r="M66" s="40">
        <f>IF($B66="","",SUMPRODUCT(('LOG VẮNG'!$C$2:$C$1000&lt;&gt;"")*(YEAR('LOG VẮNG'!$C$2:$C$1000)=2026)*(MONTH('LOG VẮNG'!$C$2:$C$1000)=11)*ISNUMBER(SEARCH($A66,'LOG VẮNG'!$D$2:$D$1000))))</f>
        <v/>
      </c>
      <c r="N66" s="40">
        <f>IF($B66="","",SUMPRODUCT(('LOG VẮNG'!$C$2:$C$1000&lt;&gt;"")*(YEAR('LOG VẮNG'!$C$2:$C$1000)=2026)*(MONTH('LOG VẮNG'!$C$2:$C$1000)=12)*ISNUMBER(SEARCH($A66,'LOG VẮNG'!$D$2:$D$1000))))</f>
        <v/>
      </c>
      <c r="O66" s="40">
        <f>IF($B66="","",SUM(C66:N66))</f>
        <v/>
      </c>
    </row>
    <row r="67">
      <c r="A67" s="40" t="inlineStr">
        <is>
          <t>ORI065</t>
        </is>
      </c>
      <c r="B67" s="46">
        <f>IFERROR(INDEX('HỌC VIÊN'!$B$4:$B$203,MATCH($A67,'HỌC VIÊN'!$A$4:$A$203,0)),"")</f>
        <v/>
      </c>
      <c r="C67" s="40">
        <f>IF($B67="","",SUMPRODUCT(('LOG VẮNG'!$C$2:$C$1000&lt;&gt;"")*(YEAR('LOG VẮNG'!$C$2:$C$1000)=2026)*(MONTH('LOG VẮNG'!$C$2:$C$1000)=1)*ISNUMBER(SEARCH($A67,'LOG VẮNG'!$D$2:$D$1000))))</f>
        <v/>
      </c>
      <c r="D67" s="40">
        <f>IF($B67="","",SUMPRODUCT(('LOG VẮNG'!$C$2:$C$1000&lt;&gt;"")*(YEAR('LOG VẮNG'!$C$2:$C$1000)=2026)*(MONTH('LOG VẮNG'!$C$2:$C$1000)=2)*ISNUMBER(SEARCH($A67,'LOG VẮNG'!$D$2:$D$1000))))</f>
        <v/>
      </c>
      <c r="E67" s="40">
        <f>IF($B67="","",SUMPRODUCT(('LOG VẮNG'!$C$2:$C$1000&lt;&gt;"")*(YEAR('LOG VẮNG'!$C$2:$C$1000)=2026)*(MONTH('LOG VẮNG'!$C$2:$C$1000)=3)*ISNUMBER(SEARCH($A67,'LOG VẮNG'!$D$2:$D$1000))))</f>
        <v/>
      </c>
      <c r="F67" s="40">
        <f>IF($B67="","",SUMPRODUCT(('LOG VẮNG'!$C$2:$C$1000&lt;&gt;"")*(YEAR('LOG VẮNG'!$C$2:$C$1000)=2026)*(MONTH('LOG VẮNG'!$C$2:$C$1000)=4)*ISNUMBER(SEARCH($A67,'LOG VẮNG'!$D$2:$D$1000))))</f>
        <v/>
      </c>
      <c r="G67" s="40">
        <f>IF($B67="","",SUMPRODUCT(('LOG VẮNG'!$C$2:$C$1000&lt;&gt;"")*(YEAR('LOG VẮNG'!$C$2:$C$1000)=2026)*(MONTH('LOG VẮNG'!$C$2:$C$1000)=5)*ISNUMBER(SEARCH($A67,'LOG VẮNG'!$D$2:$D$1000))))</f>
        <v/>
      </c>
      <c r="H67" s="40">
        <f>IF($B67="","",SUMPRODUCT(('LOG VẮNG'!$C$2:$C$1000&lt;&gt;"")*(YEAR('LOG VẮNG'!$C$2:$C$1000)=2026)*(MONTH('LOG VẮNG'!$C$2:$C$1000)=6)*ISNUMBER(SEARCH($A67,'LOG VẮNG'!$D$2:$D$1000))))</f>
        <v/>
      </c>
      <c r="I67" s="40">
        <f>IF($B67="","",SUMPRODUCT(('LOG VẮNG'!$C$2:$C$1000&lt;&gt;"")*(YEAR('LOG VẮNG'!$C$2:$C$1000)=2026)*(MONTH('LOG VẮNG'!$C$2:$C$1000)=7)*ISNUMBER(SEARCH($A67,'LOG VẮNG'!$D$2:$D$1000))))</f>
        <v/>
      </c>
      <c r="J67" s="40">
        <f>IF($B67="","",SUMPRODUCT(('LOG VẮNG'!$C$2:$C$1000&lt;&gt;"")*(YEAR('LOG VẮNG'!$C$2:$C$1000)=2026)*(MONTH('LOG VẮNG'!$C$2:$C$1000)=8)*ISNUMBER(SEARCH($A67,'LOG VẮNG'!$D$2:$D$1000))))</f>
        <v/>
      </c>
      <c r="K67" s="40">
        <f>IF($B67="","",SUMPRODUCT(('LOG VẮNG'!$C$2:$C$1000&lt;&gt;"")*(YEAR('LOG VẮNG'!$C$2:$C$1000)=2026)*(MONTH('LOG VẮNG'!$C$2:$C$1000)=9)*ISNUMBER(SEARCH($A67,'LOG VẮNG'!$D$2:$D$1000))))</f>
        <v/>
      </c>
      <c r="L67" s="40">
        <f>IF($B67="","",SUMPRODUCT(('LOG VẮNG'!$C$2:$C$1000&lt;&gt;"")*(YEAR('LOG VẮNG'!$C$2:$C$1000)=2026)*(MONTH('LOG VẮNG'!$C$2:$C$1000)=10)*ISNUMBER(SEARCH($A67,'LOG VẮNG'!$D$2:$D$1000))))</f>
        <v/>
      </c>
      <c r="M67" s="40">
        <f>IF($B67="","",SUMPRODUCT(('LOG VẮNG'!$C$2:$C$1000&lt;&gt;"")*(YEAR('LOG VẮNG'!$C$2:$C$1000)=2026)*(MONTH('LOG VẮNG'!$C$2:$C$1000)=11)*ISNUMBER(SEARCH($A67,'LOG VẮNG'!$D$2:$D$1000))))</f>
        <v/>
      </c>
      <c r="N67" s="40">
        <f>IF($B67="","",SUMPRODUCT(('LOG VẮNG'!$C$2:$C$1000&lt;&gt;"")*(YEAR('LOG VẮNG'!$C$2:$C$1000)=2026)*(MONTH('LOG VẮNG'!$C$2:$C$1000)=12)*ISNUMBER(SEARCH($A67,'LOG VẮNG'!$D$2:$D$1000))))</f>
        <v/>
      </c>
      <c r="O67" s="40">
        <f>IF($B67="","",SUM(C67:N67))</f>
        <v/>
      </c>
    </row>
    <row r="68">
      <c r="A68" s="40" t="inlineStr">
        <is>
          <t>ORI066</t>
        </is>
      </c>
      <c r="B68" s="46">
        <f>IFERROR(INDEX('HỌC VIÊN'!$B$4:$B$203,MATCH($A68,'HỌC VIÊN'!$A$4:$A$203,0)),"")</f>
        <v/>
      </c>
      <c r="C68" s="40">
        <f>IF($B68="","",SUMPRODUCT(('LOG VẮNG'!$C$2:$C$1000&lt;&gt;"")*(YEAR('LOG VẮNG'!$C$2:$C$1000)=2026)*(MONTH('LOG VẮNG'!$C$2:$C$1000)=1)*ISNUMBER(SEARCH($A68,'LOG VẮNG'!$D$2:$D$1000))))</f>
        <v/>
      </c>
      <c r="D68" s="40">
        <f>IF($B68="","",SUMPRODUCT(('LOG VẮNG'!$C$2:$C$1000&lt;&gt;"")*(YEAR('LOG VẮNG'!$C$2:$C$1000)=2026)*(MONTH('LOG VẮNG'!$C$2:$C$1000)=2)*ISNUMBER(SEARCH($A68,'LOG VẮNG'!$D$2:$D$1000))))</f>
        <v/>
      </c>
      <c r="E68" s="40">
        <f>IF($B68="","",SUMPRODUCT(('LOG VẮNG'!$C$2:$C$1000&lt;&gt;"")*(YEAR('LOG VẮNG'!$C$2:$C$1000)=2026)*(MONTH('LOG VẮNG'!$C$2:$C$1000)=3)*ISNUMBER(SEARCH($A68,'LOG VẮNG'!$D$2:$D$1000))))</f>
        <v/>
      </c>
      <c r="F68" s="40">
        <f>IF($B68="","",SUMPRODUCT(('LOG VẮNG'!$C$2:$C$1000&lt;&gt;"")*(YEAR('LOG VẮNG'!$C$2:$C$1000)=2026)*(MONTH('LOG VẮNG'!$C$2:$C$1000)=4)*ISNUMBER(SEARCH($A68,'LOG VẮNG'!$D$2:$D$1000))))</f>
        <v/>
      </c>
      <c r="G68" s="40">
        <f>IF($B68="","",SUMPRODUCT(('LOG VẮNG'!$C$2:$C$1000&lt;&gt;"")*(YEAR('LOG VẮNG'!$C$2:$C$1000)=2026)*(MONTH('LOG VẮNG'!$C$2:$C$1000)=5)*ISNUMBER(SEARCH($A68,'LOG VẮNG'!$D$2:$D$1000))))</f>
        <v/>
      </c>
      <c r="H68" s="40">
        <f>IF($B68="","",SUMPRODUCT(('LOG VẮNG'!$C$2:$C$1000&lt;&gt;"")*(YEAR('LOG VẮNG'!$C$2:$C$1000)=2026)*(MONTH('LOG VẮNG'!$C$2:$C$1000)=6)*ISNUMBER(SEARCH($A68,'LOG VẮNG'!$D$2:$D$1000))))</f>
        <v/>
      </c>
      <c r="I68" s="40">
        <f>IF($B68="","",SUMPRODUCT(('LOG VẮNG'!$C$2:$C$1000&lt;&gt;"")*(YEAR('LOG VẮNG'!$C$2:$C$1000)=2026)*(MONTH('LOG VẮNG'!$C$2:$C$1000)=7)*ISNUMBER(SEARCH($A68,'LOG VẮNG'!$D$2:$D$1000))))</f>
        <v/>
      </c>
      <c r="J68" s="40">
        <f>IF($B68="","",SUMPRODUCT(('LOG VẮNG'!$C$2:$C$1000&lt;&gt;"")*(YEAR('LOG VẮNG'!$C$2:$C$1000)=2026)*(MONTH('LOG VẮNG'!$C$2:$C$1000)=8)*ISNUMBER(SEARCH($A68,'LOG VẮNG'!$D$2:$D$1000))))</f>
        <v/>
      </c>
      <c r="K68" s="40">
        <f>IF($B68="","",SUMPRODUCT(('LOG VẮNG'!$C$2:$C$1000&lt;&gt;"")*(YEAR('LOG VẮNG'!$C$2:$C$1000)=2026)*(MONTH('LOG VẮNG'!$C$2:$C$1000)=9)*ISNUMBER(SEARCH($A68,'LOG VẮNG'!$D$2:$D$1000))))</f>
        <v/>
      </c>
      <c r="L68" s="40">
        <f>IF($B68="","",SUMPRODUCT(('LOG VẮNG'!$C$2:$C$1000&lt;&gt;"")*(YEAR('LOG VẮNG'!$C$2:$C$1000)=2026)*(MONTH('LOG VẮNG'!$C$2:$C$1000)=10)*ISNUMBER(SEARCH($A68,'LOG VẮNG'!$D$2:$D$1000))))</f>
        <v/>
      </c>
      <c r="M68" s="40">
        <f>IF($B68="","",SUMPRODUCT(('LOG VẮNG'!$C$2:$C$1000&lt;&gt;"")*(YEAR('LOG VẮNG'!$C$2:$C$1000)=2026)*(MONTH('LOG VẮNG'!$C$2:$C$1000)=11)*ISNUMBER(SEARCH($A68,'LOG VẮNG'!$D$2:$D$1000))))</f>
        <v/>
      </c>
      <c r="N68" s="40">
        <f>IF($B68="","",SUMPRODUCT(('LOG VẮNG'!$C$2:$C$1000&lt;&gt;"")*(YEAR('LOG VẮNG'!$C$2:$C$1000)=2026)*(MONTH('LOG VẮNG'!$C$2:$C$1000)=12)*ISNUMBER(SEARCH($A68,'LOG VẮNG'!$D$2:$D$1000))))</f>
        <v/>
      </c>
      <c r="O68" s="40">
        <f>IF($B68="","",SUM(C68:N68))</f>
        <v/>
      </c>
    </row>
    <row r="69">
      <c r="A69" s="40" t="inlineStr">
        <is>
          <t>ORI067</t>
        </is>
      </c>
      <c r="B69" s="46">
        <f>IFERROR(INDEX('HỌC VIÊN'!$B$4:$B$203,MATCH($A69,'HỌC VIÊN'!$A$4:$A$203,0)),"")</f>
        <v/>
      </c>
      <c r="C69" s="40">
        <f>IF($B69="","",SUMPRODUCT(('LOG VẮNG'!$C$2:$C$1000&lt;&gt;"")*(YEAR('LOG VẮNG'!$C$2:$C$1000)=2026)*(MONTH('LOG VẮNG'!$C$2:$C$1000)=1)*ISNUMBER(SEARCH($A69,'LOG VẮNG'!$D$2:$D$1000))))</f>
        <v/>
      </c>
      <c r="D69" s="40">
        <f>IF($B69="","",SUMPRODUCT(('LOG VẮNG'!$C$2:$C$1000&lt;&gt;"")*(YEAR('LOG VẮNG'!$C$2:$C$1000)=2026)*(MONTH('LOG VẮNG'!$C$2:$C$1000)=2)*ISNUMBER(SEARCH($A69,'LOG VẮNG'!$D$2:$D$1000))))</f>
        <v/>
      </c>
      <c r="E69" s="40">
        <f>IF($B69="","",SUMPRODUCT(('LOG VẮNG'!$C$2:$C$1000&lt;&gt;"")*(YEAR('LOG VẮNG'!$C$2:$C$1000)=2026)*(MONTH('LOG VẮNG'!$C$2:$C$1000)=3)*ISNUMBER(SEARCH($A69,'LOG VẮNG'!$D$2:$D$1000))))</f>
        <v/>
      </c>
      <c r="F69" s="40">
        <f>IF($B69="","",SUMPRODUCT(('LOG VẮNG'!$C$2:$C$1000&lt;&gt;"")*(YEAR('LOG VẮNG'!$C$2:$C$1000)=2026)*(MONTH('LOG VẮNG'!$C$2:$C$1000)=4)*ISNUMBER(SEARCH($A69,'LOG VẮNG'!$D$2:$D$1000))))</f>
        <v/>
      </c>
      <c r="G69" s="40">
        <f>IF($B69="","",SUMPRODUCT(('LOG VẮNG'!$C$2:$C$1000&lt;&gt;"")*(YEAR('LOG VẮNG'!$C$2:$C$1000)=2026)*(MONTH('LOG VẮNG'!$C$2:$C$1000)=5)*ISNUMBER(SEARCH($A69,'LOG VẮNG'!$D$2:$D$1000))))</f>
        <v/>
      </c>
      <c r="H69" s="40">
        <f>IF($B69="","",SUMPRODUCT(('LOG VẮNG'!$C$2:$C$1000&lt;&gt;"")*(YEAR('LOG VẮNG'!$C$2:$C$1000)=2026)*(MONTH('LOG VẮNG'!$C$2:$C$1000)=6)*ISNUMBER(SEARCH($A69,'LOG VẮNG'!$D$2:$D$1000))))</f>
        <v/>
      </c>
      <c r="I69" s="40">
        <f>IF($B69="","",SUMPRODUCT(('LOG VẮNG'!$C$2:$C$1000&lt;&gt;"")*(YEAR('LOG VẮNG'!$C$2:$C$1000)=2026)*(MONTH('LOG VẮNG'!$C$2:$C$1000)=7)*ISNUMBER(SEARCH($A69,'LOG VẮNG'!$D$2:$D$1000))))</f>
        <v/>
      </c>
      <c r="J69" s="40">
        <f>IF($B69="","",SUMPRODUCT(('LOG VẮNG'!$C$2:$C$1000&lt;&gt;"")*(YEAR('LOG VẮNG'!$C$2:$C$1000)=2026)*(MONTH('LOG VẮNG'!$C$2:$C$1000)=8)*ISNUMBER(SEARCH($A69,'LOG VẮNG'!$D$2:$D$1000))))</f>
        <v/>
      </c>
      <c r="K69" s="40">
        <f>IF($B69="","",SUMPRODUCT(('LOG VẮNG'!$C$2:$C$1000&lt;&gt;"")*(YEAR('LOG VẮNG'!$C$2:$C$1000)=2026)*(MONTH('LOG VẮNG'!$C$2:$C$1000)=9)*ISNUMBER(SEARCH($A69,'LOG VẮNG'!$D$2:$D$1000))))</f>
        <v/>
      </c>
      <c r="L69" s="40">
        <f>IF($B69="","",SUMPRODUCT(('LOG VẮNG'!$C$2:$C$1000&lt;&gt;"")*(YEAR('LOG VẮNG'!$C$2:$C$1000)=2026)*(MONTH('LOG VẮNG'!$C$2:$C$1000)=10)*ISNUMBER(SEARCH($A69,'LOG VẮNG'!$D$2:$D$1000))))</f>
        <v/>
      </c>
      <c r="M69" s="40">
        <f>IF($B69="","",SUMPRODUCT(('LOG VẮNG'!$C$2:$C$1000&lt;&gt;"")*(YEAR('LOG VẮNG'!$C$2:$C$1000)=2026)*(MONTH('LOG VẮNG'!$C$2:$C$1000)=11)*ISNUMBER(SEARCH($A69,'LOG VẮNG'!$D$2:$D$1000))))</f>
        <v/>
      </c>
      <c r="N69" s="40">
        <f>IF($B69="","",SUMPRODUCT(('LOG VẮNG'!$C$2:$C$1000&lt;&gt;"")*(YEAR('LOG VẮNG'!$C$2:$C$1000)=2026)*(MONTH('LOG VẮNG'!$C$2:$C$1000)=12)*ISNUMBER(SEARCH($A69,'LOG VẮNG'!$D$2:$D$1000))))</f>
        <v/>
      </c>
      <c r="O69" s="40">
        <f>IF($B69="","",SUM(C69:N69))</f>
        <v/>
      </c>
    </row>
    <row r="70">
      <c r="A70" s="40" t="inlineStr">
        <is>
          <t>ORI068</t>
        </is>
      </c>
      <c r="B70" s="46">
        <f>IFERROR(INDEX('HỌC VIÊN'!$B$4:$B$203,MATCH($A70,'HỌC VIÊN'!$A$4:$A$203,0)),"")</f>
        <v/>
      </c>
      <c r="C70" s="40">
        <f>IF($B70="","",SUMPRODUCT(('LOG VẮNG'!$C$2:$C$1000&lt;&gt;"")*(YEAR('LOG VẮNG'!$C$2:$C$1000)=2026)*(MONTH('LOG VẮNG'!$C$2:$C$1000)=1)*ISNUMBER(SEARCH($A70,'LOG VẮNG'!$D$2:$D$1000))))</f>
        <v/>
      </c>
      <c r="D70" s="40">
        <f>IF($B70="","",SUMPRODUCT(('LOG VẮNG'!$C$2:$C$1000&lt;&gt;"")*(YEAR('LOG VẮNG'!$C$2:$C$1000)=2026)*(MONTH('LOG VẮNG'!$C$2:$C$1000)=2)*ISNUMBER(SEARCH($A70,'LOG VẮNG'!$D$2:$D$1000))))</f>
        <v/>
      </c>
      <c r="E70" s="40">
        <f>IF($B70="","",SUMPRODUCT(('LOG VẮNG'!$C$2:$C$1000&lt;&gt;"")*(YEAR('LOG VẮNG'!$C$2:$C$1000)=2026)*(MONTH('LOG VẮNG'!$C$2:$C$1000)=3)*ISNUMBER(SEARCH($A70,'LOG VẮNG'!$D$2:$D$1000))))</f>
        <v/>
      </c>
      <c r="F70" s="40">
        <f>IF($B70="","",SUMPRODUCT(('LOG VẮNG'!$C$2:$C$1000&lt;&gt;"")*(YEAR('LOG VẮNG'!$C$2:$C$1000)=2026)*(MONTH('LOG VẮNG'!$C$2:$C$1000)=4)*ISNUMBER(SEARCH($A70,'LOG VẮNG'!$D$2:$D$1000))))</f>
        <v/>
      </c>
      <c r="G70" s="40">
        <f>IF($B70="","",SUMPRODUCT(('LOG VẮNG'!$C$2:$C$1000&lt;&gt;"")*(YEAR('LOG VẮNG'!$C$2:$C$1000)=2026)*(MONTH('LOG VẮNG'!$C$2:$C$1000)=5)*ISNUMBER(SEARCH($A70,'LOG VẮNG'!$D$2:$D$1000))))</f>
        <v/>
      </c>
      <c r="H70" s="40">
        <f>IF($B70="","",SUMPRODUCT(('LOG VẮNG'!$C$2:$C$1000&lt;&gt;"")*(YEAR('LOG VẮNG'!$C$2:$C$1000)=2026)*(MONTH('LOG VẮNG'!$C$2:$C$1000)=6)*ISNUMBER(SEARCH($A70,'LOG VẮNG'!$D$2:$D$1000))))</f>
        <v/>
      </c>
      <c r="I70" s="40">
        <f>IF($B70="","",SUMPRODUCT(('LOG VẮNG'!$C$2:$C$1000&lt;&gt;"")*(YEAR('LOG VẮNG'!$C$2:$C$1000)=2026)*(MONTH('LOG VẮNG'!$C$2:$C$1000)=7)*ISNUMBER(SEARCH($A70,'LOG VẮNG'!$D$2:$D$1000))))</f>
        <v/>
      </c>
      <c r="J70" s="40">
        <f>IF($B70="","",SUMPRODUCT(('LOG VẮNG'!$C$2:$C$1000&lt;&gt;"")*(YEAR('LOG VẮNG'!$C$2:$C$1000)=2026)*(MONTH('LOG VẮNG'!$C$2:$C$1000)=8)*ISNUMBER(SEARCH($A70,'LOG VẮNG'!$D$2:$D$1000))))</f>
        <v/>
      </c>
      <c r="K70" s="40">
        <f>IF($B70="","",SUMPRODUCT(('LOG VẮNG'!$C$2:$C$1000&lt;&gt;"")*(YEAR('LOG VẮNG'!$C$2:$C$1000)=2026)*(MONTH('LOG VẮNG'!$C$2:$C$1000)=9)*ISNUMBER(SEARCH($A70,'LOG VẮNG'!$D$2:$D$1000))))</f>
        <v/>
      </c>
      <c r="L70" s="40">
        <f>IF($B70="","",SUMPRODUCT(('LOG VẮNG'!$C$2:$C$1000&lt;&gt;"")*(YEAR('LOG VẮNG'!$C$2:$C$1000)=2026)*(MONTH('LOG VẮNG'!$C$2:$C$1000)=10)*ISNUMBER(SEARCH($A70,'LOG VẮNG'!$D$2:$D$1000))))</f>
        <v/>
      </c>
      <c r="M70" s="40">
        <f>IF($B70="","",SUMPRODUCT(('LOG VẮNG'!$C$2:$C$1000&lt;&gt;"")*(YEAR('LOG VẮNG'!$C$2:$C$1000)=2026)*(MONTH('LOG VẮNG'!$C$2:$C$1000)=11)*ISNUMBER(SEARCH($A70,'LOG VẮNG'!$D$2:$D$1000))))</f>
        <v/>
      </c>
      <c r="N70" s="40">
        <f>IF($B70="","",SUMPRODUCT(('LOG VẮNG'!$C$2:$C$1000&lt;&gt;"")*(YEAR('LOG VẮNG'!$C$2:$C$1000)=2026)*(MONTH('LOG VẮNG'!$C$2:$C$1000)=12)*ISNUMBER(SEARCH($A70,'LOG VẮNG'!$D$2:$D$1000))))</f>
        <v/>
      </c>
      <c r="O70" s="40">
        <f>IF($B70="","",SUM(C70:N70))</f>
        <v/>
      </c>
    </row>
    <row r="71">
      <c r="A71" s="40" t="inlineStr">
        <is>
          <t>ORI069</t>
        </is>
      </c>
      <c r="B71" s="46">
        <f>IFERROR(INDEX('HỌC VIÊN'!$B$4:$B$203,MATCH($A71,'HỌC VIÊN'!$A$4:$A$203,0)),"")</f>
        <v/>
      </c>
      <c r="C71" s="40">
        <f>IF($B71="","",SUMPRODUCT(('LOG VẮNG'!$C$2:$C$1000&lt;&gt;"")*(YEAR('LOG VẮNG'!$C$2:$C$1000)=2026)*(MONTH('LOG VẮNG'!$C$2:$C$1000)=1)*ISNUMBER(SEARCH($A71,'LOG VẮNG'!$D$2:$D$1000))))</f>
        <v/>
      </c>
      <c r="D71" s="40">
        <f>IF($B71="","",SUMPRODUCT(('LOG VẮNG'!$C$2:$C$1000&lt;&gt;"")*(YEAR('LOG VẮNG'!$C$2:$C$1000)=2026)*(MONTH('LOG VẮNG'!$C$2:$C$1000)=2)*ISNUMBER(SEARCH($A71,'LOG VẮNG'!$D$2:$D$1000))))</f>
        <v/>
      </c>
      <c r="E71" s="40">
        <f>IF($B71="","",SUMPRODUCT(('LOG VẮNG'!$C$2:$C$1000&lt;&gt;"")*(YEAR('LOG VẮNG'!$C$2:$C$1000)=2026)*(MONTH('LOG VẮNG'!$C$2:$C$1000)=3)*ISNUMBER(SEARCH($A71,'LOG VẮNG'!$D$2:$D$1000))))</f>
        <v/>
      </c>
      <c r="F71" s="40">
        <f>IF($B71="","",SUMPRODUCT(('LOG VẮNG'!$C$2:$C$1000&lt;&gt;"")*(YEAR('LOG VẮNG'!$C$2:$C$1000)=2026)*(MONTH('LOG VẮNG'!$C$2:$C$1000)=4)*ISNUMBER(SEARCH($A71,'LOG VẮNG'!$D$2:$D$1000))))</f>
        <v/>
      </c>
      <c r="G71" s="40">
        <f>IF($B71="","",SUMPRODUCT(('LOG VẮNG'!$C$2:$C$1000&lt;&gt;"")*(YEAR('LOG VẮNG'!$C$2:$C$1000)=2026)*(MONTH('LOG VẮNG'!$C$2:$C$1000)=5)*ISNUMBER(SEARCH($A71,'LOG VẮNG'!$D$2:$D$1000))))</f>
        <v/>
      </c>
      <c r="H71" s="40">
        <f>IF($B71="","",SUMPRODUCT(('LOG VẮNG'!$C$2:$C$1000&lt;&gt;"")*(YEAR('LOG VẮNG'!$C$2:$C$1000)=2026)*(MONTH('LOG VẮNG'!$C$2:$C$1000)=6)*ISNUMBER(SEARCH($A71,'LOG VẮNG'!$D$2:$D$1000))))</f>
        <v/>
      </c>
      <c r="I71" s="40">
        <f>IF($B71="","",SUMPRODUCT(('LOG VẮNG'!$C$2:$C$1000&lt;&gt;"")*(YEAR('LOG VẮNG'!$C$2:$C$1000)=2026)*(MONTH('LOG VẮNG'!$C$2:$C$1000)=7)*ISNUMBER(SEARCH($A71,'LOG VẮNG'!$D$2:$D$1000))))</f>
        <v/>
      </c>
      <c r="J71" s="40">
        <f>IF($B71="","",SUMPRODUCT(('LOG VẮNG'!$C$2:$C$1000&lt;&gt;"")*(YEAR('LOG VẮNG'!$C$2:$C$1000)=2026)*(MONTH('LOG VẮNG'!$C$2:$C$1000)=8)*ISNUMBER(SEARCH($A71,'LOG VẮNG'!$D$2:$D$1000))))</f>
        <v/>
      </c>
      <c r="K71" s="40">
        <f>IF($B71="","",SUMPRODUCT(('LOG VẮNG'!$C$2:$C$1000&lt;&gt;"")*(YEAR('LOG VẮNG'!$C$2:$C$1000)=2026)*(MONTH('LOG VẮNG'!$C$2:$C$1000)=9)*ISNUMBER(SEARCH($A71,'LOG VẮNG'!$D$2:$D$1000))))</f>
        <v/>
      </c>
      <c r="L71" s="40">
        <f>IF($B71="","",SUMPRODUCT(('LOG VẮNG'!$C$2:$C$1000&lt;&gt;"")*(YEAR('LOG VẮNG'!$C$2:$C$1000)=2026)*(MONTH('LOG VẮNG'!$C$2:$C$1000)=10)*ISNUMBER(SEARCH($A71,'LOG VẮNG'!$D$2:$D$1000))))</f>
        <v/>
      </c>
      <c r="M71" s="40">
        <f>IF($B71="","",SUMPRODUCT(('LOG VẮNG'!$C$2:$C$1000&lt;&gt;"")*(YEAR('LOG VẮNG'!$C$2:$C$1000)=2026)*(MONTH('LOG VẮNG'!$C$2:$C$1000)=11)*ISNUMBER(SEARCH($A71,'LOG VẮNG'!$D$2:$D$1000))))</f>
        <v/>
      </c>
      <c r="N71" s="40">
        <f>IF($B71="","",SUMPRODUCT(('LOG VẮNG'!$C$2:$C$1000&lt;&gt;"")*(YEAR('LOG VẮNG'!$C$2:$C$1000)=2026)*(MONTH('LOG VẮNG'!$C$2:$C$1000)=12)*ISNUMBER(SEARCH($A71,'LOG VẮNG'!$D$2:$D$1000))))</f>
        <v/>
      </c>
      <c r="O71" s="40">
        <f>IF($B71="","",SUM(C71:N71))</f>
        <v/>
      </c>
    </row>
    <row r="72">
      <c r="A72" s="40" t="inlineStr">
        <is>
          <t>ORI070</t>
        </is>
      </c>
      <c r="B72" s="46">
        <f>IFERROR(INDEX('HỌC VIÊN'!$B$4:$B$203,MATCH($A72,'HỌC VIÊN'!$A$4:$A$203,0)),"")</f>
        <v/>
      </c>
      <c r="C72" s="40">
        <f>IF($B72="","",SUMPRODUCT(('LOG VẮNG'!$C$2:$C$1000&lt;&gt;"")*(YEAR('LOG VẮNG'!$C$2:$C$1000)=2026)*(MONTH('LOG VẮNG'!$C$2:$C$1000)=1)*ISNUMBER(SEARCH($A72,'LOG VẮNG'!$D$2:$D$1000))))</f>
        <v/>
      </c>
      <c r="D72" s="40">
        <f>IF($B72="","",SUMPRODUCT(('LOG VẮNG'!$C$2:$C$1000&lt;&gt;"")*(YEAR('LOG VẮNG'!$C$2:$C$1000)=2026)*(MONTH('LOG VẮNG'!$C$2:$C$1000)=2)*ISNUMBER(SEARCH($A72,'LOG VẮNG'!$D$2:$D$1000))))</f>
        <v/>
      </c>
      <c r="E72" s="40">
        <f>IF($B72="","",SUMPRODUCT(('LOG VẮNG'!$C$2:$C$1000&lt;&gt;"")*(YEAR('LOG VẮNG'!$C$2:$C$1000)=2026)*(MONTH('LOG VẮNG'!$C$2:$C$1000)=3)*ISNUMBER(SEARCH($A72,'LOG VẮNG'!$D$2:$D$1000))))</f>
        <v/>
      </c>
      <c r="F72" s="40">
        <f>IF($B72="","",SUMPRODUCT(('LOG VẮNG'!$C$2:$C$1000&lt;&gt;"")*(YEAR('LOG VẮNG'!$C$2:$C$1000)=2026)*(MONTH('LOG VẮNG'!$C$2:$C$1000)=4)*ISNUMBER(SEARCH($A72,'LOG VẮNG'!$D$2:$D$1000))))</f>
        <v/>
      </c>
      <c r="G72" s="40">
        <f>IF($B72="","",SUMPRODUCT(('LOG VẮNG'!$C$2:$C$1000&lt;&gt;"")*(YEAR('LOG VẮNG'!$C$2:$C$1000)=2026)*(MONTH('LOG VẮNG'!$C$2:$C$1000)=5)*ISNUMBER(SEARCH($A72,'LOG VẮNG'!$D$2:$D$1000))))</f>
        <v/>
      </c>
      <c r="H72" s="40">
        <f>IF($B72="","",SUMPRODUCT(('LOG VẮNG'!$C$2:$C$1000&lt;&gt;"")*(YEAR('LOG VẮNG'!$C$2:$C$1000)=2026)*(MONTH('LOG VẮNG'!$C$2:$C$1000)=6)*ISNUMBER(SEARCH($A72,'LOG VẮNG'!$D$2:$D$1000))))</f>
        <v/>
      </c>
      <c r="I72" s="40">
        <f>IF($B72="","",SUMPRODUCT(('LOG VẮNG'!$C$2:$C$1000&lt;&gt;"")*(YEAR('LOG VẮNG'!$C$2:$C$1000)=2026)*(MONTH('LOG VẮNG'!$C$2:$C$1000)=7)*ISNUMBER(SEARCH($A72,'LOG VẮNG'!$D$2:$D$1000))))</f>
        <v/>
      </c>
      <c r="J72" s="40">
        <f>IF($B72="","",SUMPRODUCT(('LOG VẮNG'!$C$2:$C$1000&lt;&gt;"")*(YEAR('LOG VẮNG'!$C$2:$C$1000)=2026)*(MONTH('LOG VẮNG'!$C$2:$C$1000)=8)*ISNUMBER(SEARCH($A72,'LOG VẮNG'!$D$2:$D$1000))))</f>
        <v/>
      </c>
      <c r="K72" s="40">
        <f>IF($B72="","",SUMPRODUCT(('LOG VẮNG'!$C$2:$C$1000&lt;&gt;"")*(YEAR('LOG VẮNG'!$C$2:$C$1000)=2026)*(MONTH('LOG VẮNG'!$C$2:$C$1000)=9)*ISNUMBER(SEARCH($A72,'LOG VẮNG'!$D$2:$D$1000))))</f>
        <v/>
      </c>
      <c r="L72" s="40">
        <f>IF($B72="","",SUMPRODUCT(('LOG VẮNG'!$C$2:$C$1000&lt;&gt;"")*(YEAR('LOG VẮNG'!$C$2:$C$1000)=2026)*(MONTH('LOG VẮNG'!$C$2:$C$1000)=10)*ISNUMBER(SEARCH($A72,'LOG VẮNG'!$D$2:$D$1000))))</f>
        <v/>
      </c>
      <c r="M72" s="40">
        <f>IF($B72="","",SUMPRODUCT(('LOG VẮNG'!$C$2:$C$1000&lt;&gt;"")*(YEAR('LOG VẮNG'!$C$2:$C$1000)=2026)*(MONTH('LOG VẮNG'!$C$2:$C$1000)=11)*ISNUMBER(SEARCH($A72,'LOG VẮNG'!$D$2:$D$1000))))</f>
        <v/>
      </c>
      <c r="N72" s="40">
        <f>IF($B72="","",SUMPRODUCT(('LOG VẮNG'!$C$2:$C$1000&lt;&gt;"")*(YEAR('LOG VẮNG'!$C$2:$C$1000)=2026)*(MONTH('LOG VẮNG'!$C$2:$C$1000)=12)*ISNUMBER(SEARCH($A72,'LOG VẮNG'!$D$2:$D$1000))))</f>
        <v/>
      </c>
      <c r="O72" s="40">
        <f>IF($B72="","",SUM(C72:N72))</f>
        <v/>
      </c>
    </row>
    <row r="73">
      <c r="A73" s="40" t="inlineStr">
        <is>
          <t>ORI071</t>
        </is>
      </c>
      <c r="B73" s="46">
        <f>IFERROR(INDEX('HỌC VIÊN'!$B$4:$B$203,MATCH($A73,'HỌC VIÊN'!$A$4:$A$203,0)),"")</f>
        <v/>
      </c>
      <c r="C73" s="40">
        <f>IF($B73="","",SUMPRODUCT(('LOG VẮNG'!$C$2:$C$1000&lt;&gt;"")*(YEAR('LOG VẮNG'!$C$2:$C$1000)=2026)*(MONTH('LOG VẮNG'!$C$2:$C$1000)=1)*ISNUMBER(SEARCH($A73,'LOG VẮNG'!$D$2:$D$1000))))</f>
        <v/>
      </c>
      <c r="D73" s="40">
        <f>IF($B73="","",SUMPRODUCT(('LOG VẮNG'!$C$2:$C$1000&lt;&gt;"")*(YEAR('LOG VẮNG'!$C$2:$C$1000)=2026)*(MONTH('LOG VẮNG'!$C$2:$C$1000)=2)*ISNUMBER(SEARCH($A73,'LOG VẮNG'!$D$2:$D$1000))))</f>
        <v/>
      </c>
      <c r="E73" s="40">
        <f>IF($B73="","",SUMPRODUCT(('LOG VẮNG'!$C$2:$C$1000&lt;&gt;"")*(YEAR('LOG VẮNG'!$C$2:$C$1000)=2026)*(MONTH('LOG VẮNG'!$C$2:$C$1000)=3)*ISNUMBER(SEARCH($A73,'LOG VẮNG'!$D$2:$D$1000))))</f>
        <v/>
      </c>
      <c r="F73" s="40">
        <f>IF($B73="","",SUMPRODUCT(('LOG VẮNG'!$C$2:$C$1000&lt;&gt;"")*(YEAR('LOG VẮNG'!$C$2:$C$1000)=2026)*(MONTH('LOG VẮNG'!$C$2:$C$1000)=4)*ISNUMBER(SEARCH($A73,'LOG VẮNG'!$D$2:$D$1000))))</f>
        <v/>
      </c>
      <c r="G73" s="40">
        <f>IF($B73="","",SUMPRODUCT(('LOG VẮNG'!$C$2:$C$1000&lt;&gt;"")*(YEAR('LOG VẮNG'!$C$2:$C$1000)=2026)*(MONTH('LOG VẮNG'!$C$2:$C$1000)=5)*ISNUMBER(SEARCH($A73,'LOG VẮNG'!$D$2:$D$1000))))</f>
        <v/>
      </c>
      <c r="H73" s="40">
        <f>IF($B73="","",SUMPRODUCT(('LOG VẮNG'!$C$2:$C$1000&lt;&gt;"")*(YEAR('LOG VẮNG'!$C$2:$C$1000)=2026)*(MONTH('LOG VẮNG'!$C$2:$C$1000)=6)*ISNUMBER(SEARCH($A73,'LOG VẮNG'!$D$2:$D$1000))))</f>
        <v/>
      </c>
      <c r="I73" s="40">
        <f>IF($B73="","",SUMPRODUCT(('LOG VẮNG'!$C$2:$C$1000&lt;&gt;"")*(YEAR('LOG VẮNG'!$C$2:$C$1000)=2026)*(MONTH('LOG VẮNG'!$C$2:$C$1000)=7)*ISNUMBER(SEARCH($A73,'LOG VẮNG'!$D$2:$D$1000))))</f>
        <v/>
      </c>
      <c r="J73" s="40">
        <f>IF($B73="","",SUMPRODUCT(('LOG VẮNG'!$C$2:$C$1000&lt;&gt;"")*(YEAR('LOG VẮNG'!$C$2:$C$1000)=2026)*(MONTH('LOG VẮNG'!$C$2:$C$1000)=8)*ISNUMBER(SEARCH($A73,'LOG VẮNG'!$D$2:$D$1000))))</f>
        <v/>
      </c>
      <c r="K73" s="40">
        <f>IF($B73="","",SUMPRODUCT(('LOG VẮNG'!$C$2:$C$1000&lt;&gt;"")*(YEAR('LOG VẮNG'!$C$2:$C$1000)=2026)*(MONTH('LOG VẮNG'!$C$2:$C$1000)=9)*ISNUMBER(SEARCH($A73,'LOG VẮNG'!$D$2:$D$1000))))</f>
        <v/>
      </c>
      <c r="L73" s="40">
        <f>IF($B73="","",SUMPRODUCT(('LOG VẮNG'!$C$2:$C$1000&lt;&gt;"")*(YEAR('LOG VẮNG'!$C$2:$C$1000)=2026)*(MONTH('LOG VẮNG'!$C$2:$C$1000)=10)*ISNUMBER(SEARCH($A73,'LOG VẮNG'!$D$2:$D$1000))))</f>
        <v/>
      </c>
      <c r="M73" s="40">
        <f>IF($B73="","",SUMPRODUCT(('LOG VẮNG'!$C$2:$C$1000&lt;&gt;"")*(YEAR('LOG VẮNG'!$C$2:$C$1000)=2026)*(MONTH('LOG VẮNG'!$C$2:$C$1000)=11)*ISNUMBER(SEARCH($A73,'LOG VẮNG'!$D$2:$D$1000))))</f>
        <v/>
      </c>
      <c r="N73" s="40">
        <f>IF($B73="","",SUMPRODUCT(('LOG VẮNG'!$C$2:$C$1000&lt;&gt;"")*(YEAR('LOG VẮNG'!$C$2:$C$1000)=2026)*(MONTH('LOG VẮNG'!$C$2:$C$1000)=12)*ISNUMBER(SEARCH($A73,'LOG VẮNG'!$D$2:$D$1000))))</f>
        <v/>
      </c>
      <c r="O73" s="40">
        <f>IF($B73="","",SUM(C73:N73))</f>
        <v/>
      </c>
    </row>
    <row r="74">
      <c r="A74" s="40" t="inlineStr">
        <is>
          <t>ORI072</t>
        </is>
      </c>
      <c r="B74" s="46">
        <f>IFERROR(INDEX('HỌC VIÊN'!$B$4:$B$203,MATCH($A74,'HỌC VIÊN'!$A$4:$A$203,0)),"")</f>
        <v/>
      </c>
      <c r="C74" s="40">
        <f>IF($B74="","",SUMPRODUCT(('LOG VẮNG'!$C$2:$C$1000&lt;&gt;"")*(YEAR('LOG VẮNG'!$C$2:$C$1000)=2026)*(MONTH('LOG VẮNG'!$C$2:$C$1000)=1)*ISNUMBER(SEARCH($A74,'LOG VẮNG'!$D$2:$D$1000))))</f>
        <v/>
      </c>
      <c r="D74" s="40">
        <f>IF($B74="","",SUMPRODUCT(('LOG VẮNG'!$C$2:$C$1000&lt;&gt;"")*(YEAR('LOG VẮNG'!$C$2:$C$1000)=2026)*(MONTH('LOG VẮNG'!$C$2:$C$1000)=2)*ISNUMBER(SEARCH($A74,'LOG VẮNG'!$D$2:$D$1000))))</f>
        <v/>
      </c>
      <c r="E74" s="40">
        <f>IF($B74="","",SUMPRODUCT(('LOG VẮNG'!$C$2:$C$1000&lt;&gt;"")*(YEAR('LOG VẮNG'!$C$2:$C$1000)=2026)*(MONTH('LOG VẮNG'!$C$2:$C$1000)=3)*ISNUMBER(SEARCH($A74,'LOG VẮNG'!$D$2:$D$1000))))</f>
        <v/>
      </c>
      <c r="F74" s="40">
        <f>IF($B74="","",SUMPRODUCT(('LOG VẮNG'!$C$2:$C$1000&lt;&gt;"")*(YEAR('LOG VẮNG'!$C$2:$C$1000)=2026)*(MONTH('LOG VẮNG'!$C$2:$C$1000)=4)*ISNUMBER(SEARCH($A74,'LOG VẮNG'!$D$2:$D$1000))))</f>
        <v/>
      </c>
      <c r="G74" s="40">
        <f>IF($B74="","",SUMPRODUCT(('LOG VẮNG'!$C$2:$C$1000&lt;&gt;"")*(YEAR('LOG VẮNG'!$C$2:$C$1000)=2026)*(MONTH('LOG VẮNG'!$C$2:$C$1000)=5)*ISNUMBER(SEARCH($A74,'LOG VẮNG'!$D$2:$D$1000))))</f>
        <v/>
      </c>
      <c r="H74" s="40">
        <f>IF($B74="","",SUMPRODUCT(('LOG VẮNG'!$C$2:$C$1000&lt;&gt;"")*(YEAR('LOG VẮNG'!$C$2:$C$1000)=2026)*(MONTH('LOG VẮNG'!$C$2:$C$1000)=6)*ISNUMBER(SEARCH($A74,'LOG VẮNG'!$D$2:$D$1000))))</f>
        <v/>
      </c>
      <c r="I74" s="40">
        <f>IF($B74="","",SUMPRODUCT(('LOG VẮNG'!$C$2:$C$1000&lt;&gt;"")*(YEAR('LOG VẮNG'!$C$2:$C$1000)=2026)*(MONTH('LOG VẮNG'!$C$2:$C$1000)=7)*ISNUMBER(SEARCH($A74,'LOG VẮNG'!$D$2:$D$1000))))</f>
        <v/>
      </c>
      <c r="J74" s="40">
        <f>IF($B74="","",SUMPRODUCT(('LOG VẮNG'!$C$2:$C$1000&lt;&gt;"")*(YEAR('LOG VẮNG'!$C$2:$C$1000)=2026)*(MONTH('LOG VẮNG'!$C$2:$C$1000)=8)*ISNUMBER(SEARCH($A74,'LOG VẮNG'!$D$2:$D$1000))))</f>
        <v/>
      </c>
      <c r="K74" s="40">
        <f>IF($B74="","",SUMPRODUCT(('LOG VẮNG'!$C$2:$C$1000&lt;&gt;"")*(YEAR('LOG VẮNG'!$C$2:$C$1000)=2026)*(MONTH('LOG VẮNG'!$C$2:$C$1000)=9)*ISNUMBER(SEARCH($A74,'LOG VẮNG'!$D$2:$D$1000))))</f>
        <v/>
      </c>
      <c r="L74" s="40">
        <f>IF($B74="","",SUMPRODUCT(('LOG VẮNG'!$C$2:$C$1000&lt;&gt;"")*(YEAR('LOG VẮNG'!$C$2:$C$1000)=2026)*(MONTH('LOG VẮNG'!$C$2:$C$1000)=10)*ISNUMBER(SEARCH($A74,'LOG VẮNG'!$D$2:$D$1000))))</f>
        <v/>
      </c>
      <c r="M74" s="40">
        <f>IF($B74="","",SUMPRODUCT(('LOG VẮNG'!$C$2:$C$1000&lt;&gt;"")*(YEAR('LOG VẮNG'!$C$2:$C$1000)=2026)*(MONTH('LOG VẮNG'!$C$2:$C$1000)=11)*ISNUMBER(SEARCH($A74,'LOG VẮNG'!$D$2:$D$1000))))</f>
        <v/>
      </c>
      <c r="N74" s="40">
        <f>IF($B74="","",SUMPRODUCT(('LOG VẮNG'!$C$2:$C$1000&lt;&gt;"")*(YEAR('LOG VẮNG'!$C$2:$C$1000)=2026)*(MONTH('LOG VẮNG'!$C$2:$C$1000)=12)*ISNUMBER(SEARCH($A74,'LOG VẮNG'!$D$2:$D$1000))))</f>
        <v/>
      </c>
      <c r="O74" s="40">
        <f>IF($B74="","",SUM(C74:N74))</f>
        <v/>
      </c>
    </row>
    <row r="75">
      <c r="A75" s="40" t="inlineStr">
        <is>
          <t>ORI073</t>
        </is>
      </c>
      <c r="B75" s="46">
        <f>IFERROR(INDEX('HỌC VIÊN'!$B$4:$B$203,MATCH($A75,'HỌC VIÊN'!$A$4:$A$203,0)),"")</f>
        <v/>
      </c>
      <c r="C75" s="40">
        <f>IF($B75="","",SUMPRODUCT(('LOG VẮNG'!$C$2:$C$1000&lt;&gt;"")*(YEAR('LOG VẮNG'!$C$2:$C$1000)=2026)*(MONTH('LOG VẮNG'!$C$2:$C$1000)=1)*ISNUMBER(SEARCH($A75,'LOG VẮNG'!$D$2:$D$1000))))</f>
        <v/>
      </c>
      <c r="D75" s="40">
        <f>IF($B75="","",SUMPRODUCT(('LOG VẮNG'!$C$2:$C$1000&lt;&gt;"")*(YEAR('LOG VẮNG'!$C$2:$C$1000)=2026)*(MONTH('LOG VẮNG'!$C$2:$C$1000)=2)*ISNUMBER(SEARCH($A75,'LOG VẮNG'!$D$2:$D$1000))))</f>
        <v/>
      </c>
      <c r="E75" s="40">
        <f>IF($B75="","",SUMPRODUCT(('LOG VẮNG'!$C$2:$C$1000&lt;&gt;"")*(YEAR('LOG VẮNG'!$C$2:$C$1000)=2026)*(MONTH('LOG VẮNG'!$C$2:$C$1000)=3)*ISNUMBER(SEARCH($A75,'LOG VẮNG'!$D$2:$D$1000))))</f>
        <v/>
      </c>
      <c r="F75" s="40">
        <f>IF($B75="","",SUMPRODUCT(('LOG VẮNG'!$C$2:$C$1000&lt;&gt;"")*(YEAR('LOG VẮNG'!$C$2:$C$1000)=2026)*(MONTH('LOG VẮNG'!$C$2:$C$1000)=4)*ISNUMBER(SEARCH($A75,'LOG VẮNG'!$D$2:$D$1000))))</f>
        <v/>
      </c>
      <c r="G75" s="40">
        <f>IF($B75="","",SUMPRODUCT(('LOG VẮNG'!$C$2:$C$1000&lt;&gt;"")*(YEAR('LOG VẮNG'!$C$2:$C$1000)=2026)*(MONTH('LOG VẮNG'!$C$2:$C$1000)=5)*ISNUMBER(SEARCH($A75,'LOG VẮNG'!$D$2:$D$1000))))</f>
        <v/>
      </c>
      <c r="H75" s="40">
        <f>IF($B75="","",SUMPRODUCT(('LOG VẮNG'!$C$2:$C$1000&lt;&gt;"")*(YEAR('LOG VẮNG'!$C$2:$C$1000)=2026)*(MONTH('LOG VẮNG'!$C$2:$C$1000)=6)*ISNUMBER(SEARCH($A75,'LOG VẮNG'!$D$2:$D$1000))))</f>
        <v/>
      </c>
      <c r="I75" s="40">
        <f>IF($B75="","",SUMPRODUCT(('LOG VẮNG'!$C$2:$C$1000&lt;&gt;"")*(YEAR('LOG VẮNG'!$C$2:$C$1000)=2026)*(MONTH('LOG VẮNG'!$C$2:$C$1000)=7)*ISNUMBER(SEARCH($A75,'LOG VẮNG'!$D$2:$D$1000))))</f>
        <v/>
      </c>
      <c r="J75" s="40">
        <f>IF($B75="","",SUMPRODUCT(('LOG VẮNG'!$C$2:$C$1000&lt;&gt;"")*(YEAR('LOG VẮNG'!$C$2:$C$1000)=2026)*(MONTH('LOG VẮNG'!$C$2:$C$1000)=8)*ISNUMBER(SEARCH($A75,'LOG VẮNG'!$D$2:$D$1000))))</f>
        <v/>
      </c>
      <c r="K75" s="40">
        <f>IF($B75="","",SUMPRODUCT(('LOG VẮNG'!$C$2:$C$1000&lt;&gt;"")*(YEAR('LOG VẮNG'!$C$2:$C$1000)=2026)*(MONTH('LOG VẮNG'!$C$2:$C$1000)=9)*ISNUMBER(SEARCH($A75,'LOG VẮNG'!$D$2:$D$1000))))</f>
        <v/>
      </c>
      <c r="L75" s="40">
        <f>IF($B75="","",SUMPRODUCT(('LOG VẮNG'!$C$2:$C$1000&lt;&gt;"")*(YEAR('LOG VẮNG'!$C$2:$C$1000)=2026)*(MONTH('LOG VẮNG'!$C$2:$C$1000)=10)*ISNUMBER(SEARCH($A75,'LOG VẮNG'!$D$2:$D$1000))))</f>
        <v/>
      </c>
      <c r="M75" s="40">
        <f>IF($B75="","",SUMPRODUCT(('LOG VẮNG'!$C$2:$C$1000&lt;&gt;"")*(YEAR('LOG VẮNG'!$C$2:$C$1000)=2026)*(MONTH('LOG VẮNG'!$C$2:$C$1000)=11)*ISNUMBER(SEARCH($A75,'LOG VẮNG'!$D$2:$D$1000))))</f>
        <v/>
      </c>
      <c r="N75" s="40">
        <f>IF($B75="","",SUMPRODUCT(('LOG VẮNG'!$C$2:$C$1000&lt;&gt;"")*(YEAR('LOG VẮNG'!$C$2:$C$1000)=2026)*(MONTH('LOG VẮNG'!$C$2:$C$1000)=12)*ISNUMBER(SEARCH($A75,'LOG VẮNG'!$D$2:$D$1000))))</f>
        <v/>
      </c>
      <c r="O75" s="40">
        <f>IF($B75="","",SUM(C75:N75))</f>
        <v/>
      </c>
    </row>
    <row r="76">
      <c r="A76" s="40" t="inlineStr">
        <is>
          <t>ORI074</t>
        </is>
      </c>
      <c r="B76" s="46">
        <f>IFERROR(INDEX('HỌC VIÊN'!$B$4:$B$203,MATCH($A76,'HỌC VIÊN'!$A$4:$A$203,0)),"")</f>
        <v/>
      </c>
      <c r="C76" s="40">
        <f>IF($B76="","",SUMPRODUCT(('LOG VẮNG'!$C$2:$C$1000&lt;&gt;"")*(YEAR('LOG VẮNG'!$C$2:$C$1000)=2026)*(MONTH('LOG VẮNG'!$C$2:$C$1000)=1)*ISNUMBER(SEARCH($A76,'LOG VẮNG'!$D$2:$D$1000))))</f>
        <v/>
      </c>
      <c r="D76" s="40">
        <f>IF($B76="","",SUMPRODUCT(('LOG VẮNG'!$C$2:$C$1000&lt;&gt;"")*(YEAR('LOG VẮNG'!$C$2:$C$1000)=2026)*(MONTH('LOG VẮNG'!$C$2:$C$1000)=2)*ISNUMBER(SEARCH($A76,'LOG VẮNG'!$D$2:$D$1000))))</f>
        <v/>
      </c>
      <c r="E76" s="40">
        <f>IF($B76="","",SUMPRODUCT(('LOG VẮNG'!$C$2:$C$1000&lt;&gt;"")*(YEAR('LOG VẮNG'!$C$2:$C$1000)=2026)*(MONTH('LOG VẮNG'!$C$2:$C$1000)=3)*ISNUMBER(SEARCH($A76,'LOG VẮNG'!$D$2:$D$1000))))</f>
        <v/>
      </c>
      <c r="F76" s="40">
        <f>IF($B76="","",SUMPRODUCT(('LOG VẮNG'!$C$2:$C$1000&lt;&gt;"")*(YEAR('LOG VẮNG'!$C$2:$C$1000)=2026)*(MONTH('LOG VẮNG'!$C$2:$C$1000)=4)*ISNUMBER(SEARCH($A76,'LOG VẮNG'!$D$2:$D$1000))))</f>
        <v/>
      </c>
      <c r="G76" s="40">
        <f>IF($B76="","",SUMPRODUCT(('LOG VẮNG'!$C$2:$C$1000&lt;&gt;"")*(YEAR('LOG VẮNG'!$C$2:$C$1000)=2026)*(MONTH('LOG VẮNG'!$C$2:$C$1000)=5)*ISNUMBER(SEARCH($A76,'LOG VẮNG'!$D$2:$D$1000))))</f>
        <v/>
      </c>
      <c r="H76" s="40">
        <f>IF($B76="","",SUMPRODUCT(('LOG VẮNG'!$C$2:$C$1000&lt;&gt;"")*(YEAR('LOG VẮNG'!$C$2:$C$1000)=2026)*(MONTH('LOG VẮNG'!$C$2:$C$1000)=6)*ISNUMBER(SEARCH($A76,'LOG VẮNG'!$D$2:$D$1000))))</f>
        <v/>
      </c>
      <c r="I76" s="40">
        <f>IF($B76="","",SUMPRODUCT(('LOG VẮNG'!$C$2:$C$1000&lt;&gt;"")*(YEAR('LOG VẮNG'!$C$2:$C$1000)=2026)*(MONTH('LOG VẮNG'!$C$2:$C$1000)=7)*ISNUMBER(SEARCH($A76,'LOG VẮNG'!$D$2:$D$1000))))</f>
        <v/>
      </c>
      <c r="J76" s="40">
        <f>IF($B76="","",SUMPRODUCT(('LOG VẮNG'!$C$2:$C$1000&lt;&gt;"")*(YEAR('LOG VẮNG'!$C$2:$C$1000)=2026)*(MONTH('LOG VẮNG'!$C$2:$C$1000)=8)*ISNUMBER(SEARCH($A76,'LOG VẮNG'!$D$2:$D$1000))))</f>
        <v/>
      </c>
      <c r="K76" s="40">
        <f>IF($B76="","",SUMPRODUCT(('LOG VẮNG'!$C$2:$C$1000&lt;&gt;"")*(YEAR('LOG VẮNG'!$C$2:$C$1000)=2026)*(MONTH('LOG VẮNG'!$C$2:$C$1000)=9)*ISNUMBER(SEARCH($A76,'LOG VẮNG'!$D$2:$D$1000))))</f>
        <v/>
      </c>
      <c r="L76" s="40">
        <f>IF($B76="","",SUMPRODUCT(('LOG VẮNG'!$C$2:$C$1000&lt;&gt;"")*(YEAR('LOG VẮNG'!$C$2:$C$1000)=2026)*(MONTH('LOG VẮNG'!$C$2:$C$1000)=10)*ISNUMBER(SEARCH($A76,'LOG VẮNG'!$D$2:$D$1000))))</f>
        <v/>
      </c>
      <c r="M76" s="40">
        <f>IF($B76="","",SUMPRODUCT(('LOG VẮNG'!$C$2:$C$1000&lt;&gt;"")*(YEAR('LOG VẮNG'!$C$2:$C$1000)=2026)*(MONTH('LOG VẮNG'!$C$2:$C$1000)=11)*ISNUMBER(SEARCH($A76,'LOG VẮNG'!$D$2:$D$1000))))</f>
        <v/>
      </c>
      <c r="N76" s="40">
        <f>IF($B76="","",SUMPRODUCT(('LOG VẮNG'!$C$2:$C$1000&lt;&gt;"")*(YEAR('LOG VẮNG'!$C$2:$C$1000)=2026)*(MONTH('LOG VẮNG'!$C$2:$C$1000)=12)*ISNUMBER(SEARCH($A76,'LOG VẮNG'!$D$2:$D$1000))))</f>
        <v/>
      </c>
      <c r="O76" s="40">
        <f>IF($B76="","",SUM(C76:N76))</f>
        <v/>
      </c>
    </row>
    <row r="77">
      <c r="A77" s="40" t="inlineStr">
        <is>
          <t>ORI075</t>
        </is>
      </c>
      <c r="B77" s="46">
        <f>IFERROR(INDEX('HỌC VIÊN'!$B$4:$B$203,MATCH($A77,'HỌC VIÊN'!$A$4:$A$203,0)),"")</f>
        <v/>
      </c>
      <c r="C77" s="40">
        <f>IF($B77="","",SUMPRODUCT(('LOG VẮNG'!$C$2:$C$1000&lt;&gt;"")*(YEAR('LOG VẮNG'!$C$2:$C$1000)=2026)*(MONTH('LOG VẮNG'!$C$2:$C$1000)=1)*ISNUMBER(SEARCH($A77,'LOG VẮNG'!$D$2:$D$1000))))</f>
        <v/>
      </c>
      <c r="D77" s="40">
        <f>IF($B77="","",SUMPRODUCT(('LOG VẮNG'!$C$2:$C$1000&lt;&gt;"")*(YEAR('LOG VẮNG'!$C$2:$C$1000)=2026)*(MONTH('LOG VẮNG'!$C$2:$C$1000)=2)*ISNUMBER(SEARCH($A77,'LOG VẮNG'!$D$2:$D$1000))))</f>
        <v/>
      </c>
      <c r="E77" s="40">
        <f>IF($B77="","",SUMPRODUCT(('LOG VẮNG'!$C$2:$C$1000&lt;&gt;"")*(YEAR('LOG VẮNG'!$C$2:$C$1000)=2026)*(MONTH('LOG VẮNG'!$C$2:$C$1000)=3)*ISNUMBER(SEARCH($A77,'LOG VẮNG'!$D$2:$D$1000))))</f>
        <v/>
      </c>
      <c r="F77" s="40">
        <f>IF($B77="","",SUMPRODUCT(('LOG VẮNG'!$C$2:$C$1000&lt;&gt;"")*(YEAR('LOG VẮNG'!$C$2:$C$1000)=2026)*(MONTH('LOG VẮNG'!$C$2:$C$1000)=4)*ISNUMBER(SEARCH($A77,'LOG VẮNG'!$D$2:$D$1000))))</f>
        <v/>
      </c>
      <c r="G77" s="40">
        <f>IF($B77="","",SUMPRODUCT(('LOG VẮNG'!$C$2:$C$1000&lt;&gt;"")*(YEAR('LOG VẮNG'!$C$2:$C$1000)=2026)*(MONTH('LOG VẮNG'!$C$2:$C$1000)=5)*ISNUMBER(SEARCH($A77,'LOG VẮNG'!$D$2:$D$1000))))</f>
        <v/>
      </c>
      <c r="H77" s="40">
        <f>IF($B77="","",SUMPRODUCT(('LOG VẮNG'!$C$2:$C$1000&lt;&gt;"")*(YEAR('LOG VẮNG'!$C$2:$C$1000)=2026)*(MONTH('LOG VẮNG'!$C$2:$C$1000)=6)*ISNUMBER(SEARCH($A77,'LOG VẮNG'!$D$2:$D$1000))))</f>
        <v/>
      </c>
      <c r="I77" s="40">
        <f>IF($B77="","",SUMPRODUCT(('LOG VẮNG'!$C$2:$C$1000&lt;&gt;"")*(YEAR('LOG VẮNG'!$C$2:$C$1000)=2026)*(MONTH('LOG VẮNG'!$C$2:$C$1000)=7)*ISNUMBER(SEARCH($A77,'LOG VẮNG'!$D$2:$D$1000))))</f>
        <v/>
      </c>
      <c r="J77" s="40">
        <f>IF($B77="","",SUMPRODUCT(('LOG VẮNG'!$C$2:$C$1000&lt;&gt;"")*(YEAR('LOG VẮNG'!$C$2:$C$1000)=2026)*(MONTH('LOG VẮNG'!$C$2:$C$1000)=8)*ISNUMBER(SEARCH($A77,'LOG VẮNG'!$D$2:$D$1000))))</f>
        <v/>
      </c>
      <c r="K77" s="40">
        <f>IF($B77="","",SUMPRODUCT(('LOG VẮNG'!$C$2:$C$1000&lt;&gt;"")*(YEAR('LOG VẮNG'!$C$2:$C$1000)=2026)*(MONTH('LOG VẮNG'!$C$2:$C$1000)=9)*ISNUMBER(SEARCH($A77,'LOG VẮNG'!$D$2:$D$1000))))</f>
        <v/>
      </c>
      <c r="L77" s="40">
        <f>IF($B77="","",SUMPRODUCT(('LOG VẮNG'!$C$2:$C$1000&lt;&gt;"")*(YEAR('LOG VẮNG'!$C$2:$C$1000)=2026)*(MONTH('LOG VẮNG'!$C$2:$C$1000)=10)*ISNUMBER(SEARCH($A77,'LOG VẮNG'!$D$2:$D$1000))))</f>
        <v/>
      </c>
      <c r="M77" s="40">
        <f>IF($B77="","",SUMPRODUCT(('LOG VẮNG'!$C$2:$C$1000&lt;&gt;"")*(YEAR('LOG VẮNG'!$C$2:$C$1000)=2026)*(MONTH('LOG VẮNG'!$C$2:$C$1000)=11)*ISNUMBER(SEARCH($A77,'LOG VẮNG'!$D$2:$D$1000))))</f>
        <v/>
      </c>
      <c r="N77" s="40">
        <f>IF($B77="","",SUMPRODUCT(('LOG VẮNG'!$C$2:$C$1000&lt;&gt;"")*(YEAR('LOG VẮNG'!$C$2:$C$1000)=2026)*(MONTH('LOG VẮNG'!$C$2:$C$1000)=12)*ISNUMBER(SEARCH($A77,'LOG VẮNG'!$D$2:$D$1000))))</f>
        <v/>
      </c>
      <c r="O77" s="40">
        <f>IF($B77="","",SUM(C77:N77))</f>
        <v/>
      </c>
    </row>
    <row r="78">
      <c r="A78" s="40" t="inlineStr">
        <is>
          <t>ORI076</t>
        </is>
      </c>
      <c r="B78" s="46">
        <f>IFERROR(INDEX('HỌC VIÊN'!$B$4:$B$203,MATCH($A78,'HỌC VIÊN'!$A$4:$A$203,0)),"")</f>
        <v/>
      </c>
      <c r="C78" s="40">
        <f>IF($B78="","",SUMPRODUCT(('LOG VẮNG'!$C$2:$C$1000&lt;&gt;"")*(YEAR('LOG VẮNG'!$C$2:$C$1000)=2026)*(MONTH('LOG VẮNG'!$C$2:$C$1000)=1)*ISNUMBER(SEARCH($A78,'LOG VẮNG'!$D$2:$D$1000))))</f>
        <v/>
      </c>
      <c r="D78" s="40">
        <f>IF($B78="","",SUMPRODUCT(('LOG VẮNG'!$C$2:$C$1000&lt;&gt;"")*(YEAR('LOG VẮNG'!$C$2:$C$1000)=2026)*(MONTH('LOG VẮNG'!$C$2:$C$1000)=2)*ISNUMBER(SEARCH($A78,'LOG VẮNG'!$D$2:$D$1000))))</f>
        <v/>
      </c>
      <c r="E78" s="40">
        <f>IF($B78="","",SUMPRODUCT(('LOG VẮNG'!$C$2:$C$1000&lt;&gt;"")*(YEAR('LOG VẮNG'!$C$2:$C$1000)=2026)*(MONTH('LOG VẮNG'!$C$2:$C$1000)=3)*ISNUMBER(SEARCH($A78,'LOG VẮNG'!$D$2:$D$1000))))</f>
        <v/>
      </c>
      <c r="F78" s="40">
        <f>IF($B78="","",SUMPRODUCT(('LOG VẮNG'!$C$2:$C$1000&lt;&gt;"")*(YEAR('LOG VẮNG'!$C$2:$C$1000)=2026)*(MONTH('LOG VẮNG'!$C$2:$C$1000)=4)*ISNUMBER(SEARCH($A78,'LOG VẮNG'!$D$2:$D$1000))))</f>
        <v/>
      </c>
      <c r="G78" s="40">
        <f>IF($B78="","",SUMPRODUCT(('LOG VẮNG'!$C$2:$C$1000&lt;&gt;"")*(YEAR('LOG VẮNG'!$C$2:$C$1000)=2026)*(MONTH('LOG VẮNG'!$C$2:$C$1000)=5)*ISNUMBER(SEARCH($A78,'LOG VẮNG'!$D$2:$D$1000))))</f>
        <v/>
      </c>
      <c r="H78" s="40">
        <f>IF($B78="","",SUMPRODUCT(('LOG VẮNG'!$C$2:$C$1000&lt;&gt;"")*(YEAR('LOG VẮNG'!$C$2:$C$1000)=2026)*(MONTH('LOG VẮNG'!$C$2:$C$1000)=6)*ISNUMBER(SEARCH($A78,'LOG VẮNG'!$D$2:$D$1000))))</f>
        <v/>
      </c>
      <c r="I78" s="40">
        <f>IF($B78="","",SUMPRODUCT(('LOG VẮNG'!$C$2:$C$1000&lt;&gt;"")*(YEAR('LOG VẮNG'!$C$2:$C$1000)=2026)*(MONTH('LOG VẮNG'!$C$2:$C$1000)=7)*ISNUMBER(SEARCH($A78,'LOG VẮNG'!$D$2:$D$1000))))</f>
        <v/>
      </c>
      <c r="J78" s="40">
        <f>IF($B78="","",SUMPRODUCT(('LOG VẮNG'!$C$2:$C$1000&lt;&gt;"")*(YEAR('LOG VẮNG'!$C$2:$C$1000)=2026)*(MONTH('LOG VẮNG'!$C$2:$C$1000)=8)*ISNUMBER(SEARCH($A78,'LOG VẮNG'!$D$2:$D$1000))))</f>
        <v/>
      </c>
      <c r="K78" s="40">
        <f>IF($B78="","",SUMPRODUCT(('LOG VẮNG'!$C$2:$C$1000&lt;&gt;"")*(YEAR('LOG VẮNG'!$C$2:$C$1000)=2026)*(MONTH('LOG VẮNG'!$C$2:$C$1000)=9)*ISNUMBER(SEARCH($A78,'LOG VẮNG'!$D$2:$D$1000))))</f>
        <v/>
      </c>
      <c r="L78" s="40">
        <f>IF($B78="","",SUMPRODUCT(('LOG VẮNG'!$C$2:$C$1000&lt;&gt;"")*(YEAR('LOG VẮNG'!$C$2:$C$1000)=2026)*(MONTH('LOG VẮNG'!$C$2:$C$1000)=10)*ISNUMBER(SEARCH($A78,'LOG VẮNG'!$D$2:$D$1000))))</f>
        <v/>
      </c>
      <c r="M78" s="40">
        <f>IF($B78="","",SUMPRODUCT(('LOG VẮNG'!$C$2:$C$1000&lt;&gt;"")*(YEAR('LOG VẮNG'!$C$2:$C$1000)=2026)*(MONTH('LOG VẮNG'!$C$2:$C$1000)=11)*ISNUMBER(SEARCH($A78,'LOG VẮNG'!$D$2:$D$1000))))</f>
        <v/>
      </c>
      <c r="N78" s="40">
        <f>IF($B78="","",SUMPRODUCT(('LOG VẮNG'!$C$2:$C$1000&lt;&gt;"")*(YEAR('LOG VẮNG'!$C$2:$C$1000)=2026)*(MONTH('LOG VẮNG'!$C$2:$C$1000)=12)*ISNUMBER(SEARCH($A78,'LOG VẮNG'!$D$2:$D$1000))))</f>
        <v/>
      </c>
      <c r="O78" s="40">
        <f>IF($B78="","",SUM(C78:N78))</f>
        <v/>
      </c>
    </row>
    <row r="79">
      <c r="A79" s="40" t="inlineStr">
        <is>
          <t>ORI077</t>
        </is>
      </c>
      <c r="B79" s="46">
        <f>IFERROR(INDEX('HỌC VIÊN'!$B$4:$B$203,MATCH($A79,'HỌC VIÊN'!$A$4:$A$203,0)),"")</f>
        <v/>
      </c>
      <c r="C79" s="40">
        <f>IF($B79="","",SUMPRODUCT(('LOG VẮNG'!$C$2:$C$1000&lt;&gt;"")*(YEAR('LOG VẮNG'!$C$2:$C$1000)=2026)*(MONTH('LOG VẮNG'!$C$2:$C$1000)=1)*ISNUMBER(SEARCH($A79,'LOG VẮNG'!$D$2:$D$1000))))</f>
        <v/>
      </c>
      <c r="D79" s="40">
        <f>IF($B79="","",SUMPRODUCT(('LOG VẮNG'!$C$2:$C$1000&lt;&gt;"")*(YEAR('LOG VẮNG'!$C$2:$C$1000)=2026)*(MONTH('LOG VẮNG'!$C$2:$C$1000)=2)*ISNUMBER(SEARCH($A79,'LOG VẮNG'!$D$2:$D$1000))))</f>
        <v/>
      </c>
      <c r="E79" s="40">
        <f>IF($B79="","",SUMPRODUCT(('LOG VẮNG'!$C$2:$C$1000&lt;&gt;"")*(YEAR('LOG VẮNG'!$C$2:$C$1000)=2026)*(MONTH('LOG VẮNG'!$C$2:$C$1000)=3)*ISNUMBER(SEARCH($A79,'LOG VẮNG'!$D$2:$D$1000))))</f>
        <v/>
      </c>
      <c r="F79" s="40">
        <f>IF($B79="","",SUMPRODUCT(('LOG VẮNG'!$C$2:$C$1000&lt;&gt;"")*(YEAR('LOG VẮNG'!$C$2:$C$1000)=2026)*(MONTH('LOG VẮNG'!$C$2:$C$1000)=4)*ISNUMBER(SEARCH($A79,'LOG VẮNG'!$D$2:$D$1000))))</f>
        <v/>
      </c>
      <c r="G79" s="40">
        <f>IF($B79="","",SUMPRODUCT(('LOG VẮNG'!$C$2:$C$1000&lt;&gt;"")*(YEAR('LOG VẮNG'!$C$2:$C$1000)=2026)*(MONTH('LOG VẮNG'!$C$2:$C$1000)=5)*ISNUMBER(SEARCH($A79,'LOG VẮNG'!$D$2:$D$1000))))</f>
        <v/>
      </c>
      <c r="H79" s="40">
        <f>IF($B79="","",SUMPRODUCT(('LOG VẮNG'!$C$2:$C$1000&lt;&gt;"")*(YEAR('LOG VẮNG'!$C$2:$C$1000)=2026)*(MONTH('LOG VẮNG'!$C$2:$C$1000)=6)*ISNUMBER(SEARCH($A79,'LOG VẮNG'!$D$2:$D$1000))))</f>
        <v/>
      </c>
      <c r="I79" s="40">
        <f>IF($B79="","",SUMPRODUCT(('LOG VẮNG'!$C$2:$C$1000&lt;&gt;"")*(YEAR('LOG VẮNG'!$C$2:$C$1000)=2026)*(MONTH('LOG VẮNG'!$C$2:$C$1000)=7)*ISNUMBER(SEARCH($A79,'LOG VẮNG'!$D$2:$D$1000))))</f>
        <v/>
      </c>
      <c r="J79" s="40">
        <f>IF($B79="","",SUMPRODUCT(('LOG VẮNG'!$C$2:$C$1000&lt;&gt;"")*(YEAR('LOG VẮNG'!$C$2:$C$1000)=2026)*(MONTH('LOG VẮNG'!$C$2:$C$1000)=8)*ISNUMBER(SEARCH($A79,'LOG VẮNG'!$D$2:$D$1000))))</f>
        <v/>
      </c>
      <c r="K79" s="40">
        <f>IF($B79="","",SUMPRODUCT(('LOG VẮNG'!$C$2:$C$1000&lt;&gt;"")*(YEAR('LOG VẮNG'!$C$2:$C$1000)=2026)*(MONTH('LOG VẮNG'!$C$2:$C$1000)=9)*ISNUMBER(SEARCH($A79,'LOG VẮNG'!$D$2:$D$1000))))</f>
        <v/>
      </c>
      <c r="L79" s="40">
        <f>IF($B79="","",SUMPRODUCT(('LOG VẮNG'!$C$2:$C$1000&lt;&gt;"")*(YEAR('LOG VẮNG'!$C$2:$C$1000)=2026)*(MONTH('LOG VẮNG'!$C$2:$C$1000)=10)*ISNUMBER(SEARCH($A79,'LOG VẮNG'!$D$2:$D$1000))))</f>
        <v/>
      </c>
      <c r="M79" s="40">
        <f>IF($B79="","",SUMPRODUCT(('LOG VẮNG'!$C$2:$C$1000&lt;&gt;"")*(YEAR('LOG VẮNG'!$C$2:$C$1000)=2026)*(MONTH('LOG VẮNG'!$C$2:$C$1000)=11)*ISNUMBER(SEARCH($A79,'LOG VẮNG'!$D$2:$D$1000))))</f>
        <v/>
      </c>
      <c r="N79" s="40">
        <f>IF($B79="","",SUMPRODUCT(('LOG VẮNG'!$C$2:$C$1000&lt;&gt;"")*(YEAR('LOG VẮNG'!$C$2:$C$1000)=2026)*(MONTH('LOG VẮNG'!$C$2:$C$1000)=12)*ISNUMBER(SEARCH($A79,'LOG VẮNG'!$D$2:$D$1000))))</f>
        <v/>
      </c>
      <c r="O79" s="40">
        <f>IF($B79="","",SUM(C79:N79))</f>
        <v/>
      </c>
    </row>
    <row r="80">
      <c r="A80" s="40" t="inlineStr">
        <is>
          <t>ORI078</t>
        </is>
      </c>
      <c r="B80" s="46">
        <f>IFERROR(INDEX('HỌC VIÊN'!$B$4:$B$203,MATCH($A80,'HỌC VIÊN'!$A$4:$A$203,0)),"")</f>
        <v/>
      </c>
      <c r="C80" s="40">
        <f>IF($B80="","",SUMPRODUCT(('LOG VẮNG'!$C$2:$C$1000&lt;&gt;"")*(YEAR('LOG VẮNG'!$C$2:$C$1000)=2026)*(MONTH('LOG VẮNG'!$C$2:$C$1000)=1)*ISNUMBER(SEARCH($A80,'LOG VẮNG'!$D$2:$D$1000))))</f>
        <v/>
      </c>
      <c r="D80" s="40">
        <f>IF($B80="","",SUMPRODUCT(('LOG VẮNG'!$C$2:$C$1000&lt;&gt;"")*(YEAR('LOG VẮNG'!$C$2:$C$1000)=2026)*(MONTH('LOG VẮNG'!$C$2:$C$1000)=2)*ISNUMBER(SEARCH($A80,'LOG VẮNG'!$D$2:$D$1000))))</f>
        <v/>
      </c>
      <c r="E80" s="40">
        <f>IF($B80="","",SUMPRODUCT(('LOG VẮNG'!$C$2:$C$1000&lt;&gt;"")*(YEAR('LOG VẮNG'!$C$2:$C$1000)=2026)*(MONTH('LOG VẮNG'!$C$2:$C$1000)=3)*ISNUMBER(SEARCH($A80,'LOG VẮNG'!$D$2:$D$1000))))</f>
        <v/>
      </c>
      <c r="F80" s="40">
        <f>IF($B80="","",SUMPRODUCT(('LOG VẮNG'!$C$2:$C$1000&lt;&gt;"")*(YEAR('LOG VẮNG'!$C$2:$C$1000)=2026)*(MONTH('LOG VẮNG'!$C$2:$C$1000)=4)*ISNUMBER(SEARCH($A80,'LOG VẮNG'!$D$2:$D$1000))))</f>
        <v/>
      </c>
      <c r="G80" s="40">
        <f>IF($B80="","",SUMPRODUCT(('LOG VẮNG'!$C$2:$C$1000&lt;&gt;"")*(YEAR('LOG VẮNG'!$C$2:$C$1000)=2026)*(MONTH('LOG VẮNG'!$C$2:$C$1000)=5)*ISNUMBER(SEARCH($A80,'LOG VẮNG'!$D$2:$D$1000))))</f>
        <v/>
      </c>
      <c r="H80" s="40">
        <f>IF($B80="","",SUMPRODUCT(('LOG VẮNG'!$C$2:$C$1000&lt;&gt;"")*(YEAR('LOG VẮNG'!$C$2:$C$1000)=2026)*(MONTH('LOG VẮNG'!$C$2:$C$1000)=6)*ISNUMBER(SEARCH($A80,'LOG VẮNG'!$D$2:$D$1000))))</f>
        <v/>
      </c>
      <c r="I80" s="40">
        <f>IF($B80="","",SUMPRODUCT(('LOG VẮNG'!$C$2:$C$1000&lt;&gt;"")*(YEAR('LOG VẮNG'!$C$2:$C$1000)=2026)*(MONTH('LOG VẮNG'!$C$2:$C$1000)=7)*ISNUMBER(SEARCH($A80,'LOG VẮNG'!$D$2:$D$1000))))</f>
        <v/>
      </c>
      <c r="J80" s="40">
        <f>IF($B80="","",SUMPRODUCT(('LOG VẮNG'!$C$2:$C$1000&lt;&gt;"")*(YEAR('LOG VẮNG'!$C$2:$C$1000)=2026)*(MONTH('LOG VẮNG'!$C$2:$C$1000)=8)*ISNUMBER(SEARCH($A80,'LOG VẮNG'!$D$2:$D$1000))))</f>
        <v/>
      </c>
      <c r="K80" s="40">
        <f>IF($B80="","",SUMPRODUCT(('LOG VẮNG'!$C$2:$C$1000&lt;&gt;"")*(YEAR('LOG VẮNG'!$C$2:$C$1000)=2026)*(MONTH('LOG VẮNG'!$C$2:$C$1000)=9)*ISNUMBER(SEARCH($A80,'LOG VẮNG'!$D$2:$D$1000))))</f>
        <v/>
      </c>
      <c r="L80" s="40">
        <f>IF($B80="","",SUMPRODUCT(('LOG VẮNG'!$C$2:$C$1000&lt;&gt;"")*(YEAR('LOG VẮNG'!$C$2:$C$1000)=2026)*(MONTH('LOG VẮNG'!$C$2:$C$1000)=10)*ISNUMBER(SEARCH($A80,'LOG VẮNG'!$D$2:$D$1000))))</f>
        <v/>
      </c>
      <c r="M80" s="40">
        <f>IF($B80="","",SUMPRODUCT(('LOG VẮNG'!$C$2:$C$1000&lt;&gt;"")*(YEAR('LOG VẮNG'!$C$2:$C$1000)=2026)*(MONTH('LOG VẮNG'!$C$2:$C$1000)=11)*ISNUMBER(SEARCH($A80,'LOG VẮNG'!$D$2:$D$1000))))</f>
        <v/>
      </c>
      <c r="N80" s="40">
        <f>IF($B80="","",SUMPRODUCT(('LOG VẮNG'!$C$2:$C$1000&lt;&gt;"")*(YEAR('LOG VẮNG'!$C$2:$C$1000)=2026)*(MONTH('LOG VẮNG'!$C$2:$C$1000)=12)*ISNUMBER(SEARCH($A80,'LOG VẮNG'!$D$2:$D$1000))))</f>
        <v/>
      </c>
      <c r="O80" s="40">
        <f>IF($B80="","",SUM(C80:N80))</f>
        <v/>
      </c>
    </row>
    <row r="81">
      <c r="A81" s="40" t="inlineStr">
        <is>
          <t>ORI079</t>
        </is>
      </c>
      <c r="B81" s="46">
        <f>IFERROR(INDEX('HỌC VIÊN'!$B$4:$B$203,MATCH($A81,'HỌC VIÊN'!$A$4:$A$203,0)),"")</f>
        <v/>
      </c>
      <c r="C81" s="40">
        <f>IF($B81="","",SUMPRODUCT(('LOG VẮNG'!$C$2:$C$1000&lt;&gt;"")*(YEAR('LOG VẮNG'!$C$2:$C$1000)=2026)*(MONTH('LOG VẮNG'!$C$2:$C$1000)=1)*ISNUMBER(SEARCH($A81,'LOG VẮNG'!$D$2:$D$1000))))</f>
        <v/>
      </c>
      <c r="D81" s="40">
        <f>IF($B81="","",SUMPRODUCT(('LOG VẮNG'!$C$2:$C$1000&lt;&gt;"")*(YEAR('LOG VẮNG'!$C$2:$C$1000)=2026)*(MONTH('LOG VẮNG'!$C$2:$C$1000)=2)*ISNUMBER(SEARCH($A81,'LOG VẮNG'!$D$2:$D$1000))))</f>
        <v/>
      </c>
      <c r="E81" s="40">
        <f>IF($B81="","",SUMPRODUCT(('LOG VẮNG'!$C$2:$C$1000&lt;&gt;"")*(YEAR('LOG VẮNG'!$C$2:$C$1000)=2026)*(MONTH('LOG VẮNG'!$C$2:$C$1000)=3)*ISNUMBER(SEARCH($A81,'LOG VẮNG'!$D$2:$D$1000))))</f>
        <v/>
      </c>
      <c r="F81" s="40">
        <f>IF($B81="","",SUMPRODUCT(('LOG VẮNG'!$C$2:$C$1000&lt;&gt;"")*(YEAR('LOG VẮNG'!$C$2:$C$1000)=2026)*(MONTH('LOG VẮNG'!$C$2:$C$1000)=4)*ISNUMBER(SEARCH($A81,'LOG VẮNG'!$D$2:$D$1000))))</f>
        <v/>
      </c>
      <c r="G81" s="40">
        <f>IF($B81="","",SUMPRODUCT(('LOG VẮNG'!$C$2:$C$1000&lt;&gt;"")*(YEAR('LOG VẮNG'!$C$2:$C$1000)=2026)*(MONTH('LOG VẮNG'!$C$2:$C$1000)=5)*ISNUMBER(SEARCH($A81,'LOG VẮNG'!$D$2:$D$1000))))</f>
        <v/>
      </c>
      <c r="H81" s="40">
        <f>IF($B81="","",SUMPRODUCT(('LOG VẮNG'!$C$2:$C$1000&lt;&gt;"")*(YEAR('LOG VẮNG'!$C$2:$C$1000)=2026)*(MONTH('LOG VẮNG'!$C$2:$C$1000)=6)*ISNUMBER(SEARCH($A81,'LOG VẮNG'!$D$2:$D$1000))))</f>
        <v/>
      </c>
      <c r="I81" s="40">
        <f>IF($B81="","",SUMPRODUCT(('LOG VẮNG'!$C$2:$C$1000&lt;&gt;"")*(YEAR('LOG VẮNG'!$C$2:$C$1000)=2026)*(MONTH('LOG VẮNG'!$C$2:$C$1000)=7)*ISNUMBER(SEARCH($A81,'LOG VẮNG'!$D$2:$D$1000))))</f>
        <v/>
      </c>
      <c r="J81" s="40">
        <f>IF($B81="","",SUMPRODUCT(('LOG VẮNG'!$C$2:$C$1000&lt;&gt;"")*(YEAR('LOG VẮNG'!$C$2:$C$1000)=2026)*(MONTH('LOG VẮNG'!$C$2:$C$1000)=8)*ISNUMBER(SEARCH($A81,'LOG VẮNG'!$D$2:$D$1000))))</f>
        <v/>
      </c>
      <c r="K81" s="40">
        <f>IF($B81="","",SUMPRODUCT(('LOG VẮNG'!$C$2:$C$1000&lt;&gt;"")*(YEAR('LOG VẮNG'!$C$2:$C$1000)=2026)*(MONTH('LOG VẮNG'!$C$2:$C$1000)=9)*ISNUMBER(SEARCH($A81,'LOG VẮNG'!$D$2:$D$1000))))</f>
        <v/>
      </c>
      <c r="L81" s="40">
        <f>IF($B81="","",SUMPRODUCT(('LOG VẮNG'!$C$2:$C$1000&lt;&gt;"")*(YEAR('LOG VẮNG'!$C$2:$C$1000)=2026)*(MONTH('LOG VẮNG'!$C$2:$C$1000)=10)*ISNUMBER(SEARCH($A81,'LOG VẮNG'!$D$2:$D$1000))))</f>
        <v/>
      </c>
      <c r="M81" s="40">
        <f>IF($B81="","",SUMPRODUCT(('LOG VẮNG'!$C$2:$C$1000&lt;&gt;"")*(YEAR('LOG VẮNG'!$C$2:$C$1000)=2026)*(MONTH('LOG VẮNG'!$C$2:$C$1000)=11)*ISNUMBER(SEARCH($A81,'LOG VẮNG'!$D$2:$D$1000))))</f>
        <v/>
      </c>
      <c r="N81" s="40">
        <f>IF($B81="","",SUMPRODUCT(('LOG VẮNG'!$C$2:$C$1000&lt;&gt;"")*(YEAR('LOG VẮNG'!$C$2:$C$1000)=2026)*(MONTH('LOG VẮNG'!$C$2:$C$1000)=12)*ISNUMBER(SEARCH($A81,'LOG VẮNG'!$D$2:$D$1000))))</f>
        <v/>
      </c>
      <c r="O81" s="40">
        <f>IF($B81="","",SUM(C81:N81))</f>
        <v/>
      </c>
    </row>
    <row r="82">
      <c r="A82" s="40" t="inlineStr">
        <is>
          <t>ORI080</t>
        </is>
      </c>
      <c r="B82" s="46">
        <f>IFERROR(INDEX('HỌC VIÊN'!$B$4:$B$203,MATCH($A82,'HỌC VIÊN'!$A$4:$A$203,0)),"")</f>
        <v/>
      </c>
      <c r="C82" s="40">
        <f>IF($B82="","",SUMPRODUCT(('LOG VẮNG'!$C$2:$C$1000&lt;&gt;"")*(YEAR('LOG VẮNG'!$C$2:$C$1000)=2026)*(MONTH('LOG VẮNG'!$C$2:$C$1000)=1)*ISNUMBER(SEARCH($A82,'LOG VẮNG'!$D$2:$D$1000))))</f>
        <v/>
      </c>
      <c r="D82" s="40">
        <f>IF($B82="","",SUMPRODUCT(('LOG VẮNG'!$C$2:$C$1000&lt;&gt;"")*(YEAR('LOG VẮNG'!$C$2:$C$1000)=2026)*(MONTH('LOG VẮNG'!$C$2:$C$1000)=2)*ISNUMBER(SEARCH($A82,'LOG VẮNG'!$D$2:$D$1000))))</f>
        <v/>
      </c>
      <c r="E82" s="40">
        <f>IF($B82="","",SUMPRODUCT(('LOG VẮNG'!$C$2:$C$1000&lt;&gt;"")*(YEAR('LOG VẮNG'!$C$2:$C$1000)=2026)*(MONTH('LOG VẮNG'!$C$2:$C$1000)=3)*ISNUMBER(SEARCH($A82,'LOG VẮNG'!$D$2:$D$1000))))</f>
        <v/>
      </c>
      <c r="F82" s="40">
        <f>IF($B82="","",SUMPRODUCT(('LOG VẮNG'!$C$2:$C$1000&lt;&gt;"")*(YEAR('LOG VẮNG'!$C$2:$C$1000)=2026)*(MONTH('LOG VẮNG'!$C$2:$C$1000)=4)*ISNUMBER(SEARCH($A82,'LOG VẮNG'!$D$2:$D$1000))))</f>
        <v/>
      </c>
      <c r="G82" s="40">
        <f>IF($B82="","",SUMPRODUCT(('LOG VẮNG'!$C$2:$C$1000&lt;&gt;"")*(YEAR('LOG VẮNG'!$C$2:$C$1000)=2026)*(MONTH('LOG VẮNG'!$C$2:$C$1000)=5)*ISNUMBER(SEARCH($A82,'LOG VẮNG'!$D$2:$D$1000))))</f>
        <v/>
      </c>
      <c r="H82" s="40">
        <f>IF($B82="","",SUMPRODUCT(('LOG VẮNG'!$C$2:$C$1000&lt;&gt;"")*(YEAR('LOG VẮNG'!$C$2:$C$1000)=2026)*(MONTH('LOG VẮNG'!$C$2:$C$1000)=6)*ISNUMBER(SEARCH($A82,'LOG VẮNG'!$D$2:$D$1000))))</f>
        <v/>
      </c>
      <c r="I82" s="40">
        <f>IF($B82="","",SUMPRODUCT(('LOG VẮNG'!$C$2:$C$1000&lt;&gt;"")*(YEAR('LOG VẮNG'!$C$2:$C$1000)=2026)*(MONTH('LOG VẮNG'!$C$2:$C$1000)=7)*ISNUMBER(SEARCH($A82,'LOG VẮNG'!$D$2:$D$1000))))</f>
        <v/>
      </c>
      <c r="J82" s="40">
        <f>IF($B82="","",SUMPRODUCT(('LOG VẮNG'!$C$2:$C$1000&lt;&gt;"")*(YEAR('LOG VẮNG'!$C$2:$C$1000)=2026)*(MONTH('LOG VẮNG'!$C$2:$C$1000)=8)*ISNUMBER(SEARCH($A82,'LOG VẮNG'!$D$2:$D$1000))))</f>
        <v/>
      </c>
      <c r="K82" s="40">
        <f>IF($B82="","",SUMPRODUCT(('LOG VẮNG'!$C$2:$C$1000&lt;&gt;"")*(YEAR('LOG VẮNG'!$C$2:$C$1000)=2026)*(MONTH('LOG VẮNG'!$C$2:$C$1000)=9)*ISNUMBER(SEARCH($A82,'LOG VẮNG'!$D$2:$D$1000))))</f>
        <v/>
      </c>
      <c r="L82" s="40">
        <f>IF($B82="","",SUMPRODUCT(('LOG VẮNG'!$C$2:$C$1000&lt;&gt;"")*(YEAR('LOG VẮNG'!$C$2:$C$1000)=2026)*(MONTH('LOG VẮNG'!$C$2:$C$1000)=10)*ISNUMBER(SEARCH($A82,'LOG VẮNG'!$D$2:$D$1000))))</f>
        <v/>
      </c>
      <c r="M82" s="40">
        <f>IF($B82="","",SUMPRODUCT(('LOG VẮNG'!$C$2:$C$1000&lt;&gt;"")*(YEAR('LOG VẮNG'!$C$2:$C$1000)=2026)*(MONTH('LOG VẮNG'!$C$2:$C$1000)=11)*ISNUMBER(SEARCH($A82,'LOG VẮNG'!$D$2:$D$1000))))</f>
        <v/>
      </c>
      <c r="N82" s="40">
        <f>IF($B82="","",SUMPRODUCT(('LOG VẮNG'!$C$2:$C$1000&lt;&gt;"")*(YEAR('LOG VẮNG'!$C$2:$C$1000)=2026)*(MONTH('LOG VẮNG'!$C$2:$C$1000)=12)*ISNUMBER(SEARCH($A82,'LOG VẮNG'!$D$2:$D$1000))))</f>
        <v/>
      </c>
      <c r="O82" s="40">
        <f>IF($B82="","",SUM(C82:N82))</f>
        <v/>
      </c>
    </row>
    <row r="83">
      <c r="A83" s="40" t="inlineStr">
        <is>
          <t>ORI081</t>
        </is>
      </c>
      <c r="B83" s="46">
        <f>IFERROR(INDEX('HỌC VIÊN'!$B$4:$B$203,MATCH($A83,'HỌC VIÊN'!$A$4:$A$203,0)),"")</f>
        <v/>
      </c>
      <c r="C83" s="40">
        <f>IF($B83="","",SUMPRODUCT(('LOG VẮNG'!$C$2:$C$1000&lt;&gt;"")*(YEAR('LOG VẮNG'!$C$2:$C$1000)=2026)*(MONTH('LOG VẮNG'!$C$2:$C$1000)=1)*ISNUMBER(SEARCH($A83,'LOG VẮNG'!$D$2:$D$1000))))</f>
        <v/>
      </c>
      <c r="D83" s="40">
        <f>IF($B83="","",SUMPRODUCT(('LOG VẮNG'!$C$2:$C$1000&lt;&gt;"")*(YEAR('LOG VẮNG'!$C$2:$C$1000)=2026)*(MONTH('LOG VẮNG'!$C$2:$C$1000)=2)*ISNUMBER(SEARCH($A83,'LOG VẮNG'!$D$2:$D$1000))))</f>
        <v/>
      </c>
      <c r="E83" s="40">
        <f>IF($B83="","",SUMPRODUCT(('LOG VẮNG'!$C$2:$C$1000&lt;&gt;"")*(YEAR('LOG VẮNG'!$C$2:$C$1000)=2026)*(MONTH('LOG VẮNG'!$C$2:$C$1000)=3)*ISNUMBER(SEARCH($A83,'LOG VẮNG'!$D$2:$D$1000))))</f>
        <v/>
      </c>
      <c r="F83" s="40">
        <f>IF($B83="","",SUMPRODUCT(('LOG VẮNG'!$C$2:$C$1000&lt;&gt;"")*(YEAR('LOG VẮNG'!$C$2:$C$1000)=2026)*(MONTH('LOG VẮNG'!$C$2:$C$1000)=4)*ISNUMBER(SEARCH($A83,'LOG VẮNG'!$D$2:$D$1000))))</f>
        <v/>
      </c>
      <c r="G83" s="40">
        <f>IF($B83="","",SUMPRODUCT(('LOG VẮNG'!$C$2:$C$1000&lt;&gt;"")*(YEAR('LOG VẮNG'!$C$2:$C$1000)=2026)*(MONTH('LOG VẮNG'!$C$2:$C$1000)=5)*ISNUMBER(SEARCH($A83,'LOG VẮNG'!$D$2:$D$1000))))</f>
        <v/>
      </c>
      <c r="H83" s="40">
        <f>IF($B83="","",SUMPRODUCT(('LOG VẮNG'!$C$2:$C$1000&lt;&gt;"")*(YEAR('LOG VẮNG'!$C$2:$C$1000)=2026)*(MONTH('LOG VẮNG'!$C$2:$C$1000)=6)*ISNUMBER(SEARCH($A83,'LOG VẮNG'!$D$2:$D$1000))))</f>
        <v/>
      </c>
      <c r="I83" s="40">
        <f>IF($B83="","",SUMPRODUCT(('LOG VẮNG'!$C$2:$C$1000&lt;&gt;"")*(YEAR('LOG VẮNG'!$C$2:$C$1000)=2026)*(MONTH('LOG VẮNG'!$C$2:$C$1000)=7)*ISNUMBER(SEARCH($A83,'LOG VẮNG'!$D$2:$D$1000))))</f>
        <v/>
      </c>
      <c r="J83" s="40">
        <f>IF($B83="","",SUMPRODUCT(('LOG VẮNG'!$C$2:$C$1000&lt;&gt;"")*(YEAR('LOG VẮNG'!$C$2:$C$1000)=2026)*(MONTH('LOG VẮNG'!$C$2:$C$1000)=8)*ISNUMBER(SEARCH($A83,'LOG VẮNG'!$D$2:$D$1000))))</f>
        <v/>
      </c>
      <c r="K83" s="40">
        <f>IF($B83="","",SUMPRODUCT(('LOG VẮNG'!$C$2:$C$1000&lt;&gt;"")*(YEAR('LOG VẮNG'!$C$2:$C$1000)=2026)*(MONTH('LOG VẮNG'!$C$2:$C$1000)=9)*ISNUMBER(SEARCH($A83,'LOG VẮNG'!$D$2:$D$1000))))</f>
        <v/>
      </c>
      <c r="L83" s="40">
        <f>IF($B83="","",SUMPRODUCT(('LOG VẮNG'!$C$2:$C$1000&lt;&gt;"")*(YEAR('LOG VẮNG'!$C$2:$C$1000)=2026)*(MONTH('LOG VẮNG'!$C$2:$C$1000)=10)*ISNUMBER(SEARCH($A83,'LOG VẮNG'!$D$2:$D$1000))))</f>
        <v/>
      </c>
      <c r="M83" s="40">
        <f>IF($B83="","",SUMPRODUCT(('LOG VẮNG'!$C$2:$C$1000&lt;&gt;"")*(YEAR('LOG VẮNG'!$C$2:$C$1000)=2026)*(MONTH('LOG VẮNG'!$C$2:$C$1000)=11)*ISNUMBER(SEARCH($A83,'LOG VẮNG'!$D$2:$D$1000))))</f>
        <v/>
      </c>
      <c r="N83" s="40">
        <f>IF($B83="","",SUMPRODUCT(('LOG VẮNG'!$C$2:$C$1000&lt;&gt;"")*(YEAR('LOG VẮNG'!$C$2:$C$1000)=2026)*(MONTH('LOG VẮNG'!$C$2:$C$1000)=12)*ISNUMBER(SEARCH($A83,'LOG VẮNG'!$D$2:$D$1000))))</f>
        <v/>
      </c>
      <c r="O83" s="40">
        <f>IF($B83="","",SUM(C83:N83))</f>
        <v/>
      </c>
    </row>
    <row r="84">
      <c r="A84" s="40" t="inlineStr">
        <is>
          <t>ORI082</t>
        </is>
      </c>
      <c r="B84" s="46">
        <f>IFERROR(INDEX('HỌC VIÊN'!$B$4:$B$203,MATCH($A84,'HỌC VIÊN'!$A$4:$A$203,0)),"")</f>
        <v/>
      </c>
      <c r="C84" s="40">
        <f>IF($B84="","",SUMPRODUCT(('LOG VẮNG'!$C$2:$C$1000&lt;&gt;"")*(YEAR('LOG VẮNG'!$C$2:$C$1000)=2026)*(MONTH('LOG VẮNG'!$C$2:$C$1000)=1)*ISNUMBER(SEARCH($A84,'LOG VẮNG'!$D$2:$D$1000))))</f>
        <v/>
      </c>
      <c r="D84" s="40">
        <f>IF($B84="","",SUMPRODUCT(('LOG VẮNG'!$C$2:$C$1000&lt;&gt;"")*(YEAR('LOG VẮNG'!$C$2:$C$1000)=2026)*(MONTH('LOG VẮNG'!$C$2:$C$1000)=2)*ISNUMBER(SEARCH($A84,'LOG VẮNG'!$D$2:$D$1000))))</f>
        <v/>
      </c>
      <c r="E84" s="40">
        <f>IF($B84="","",SUMPRODUCT(('LOG VẮNG'!$C$2:$C$1000&lt;&gt;"")*(YEAR('LOG VẮNG'!$C$2:$C$1000)=2026)*(MONTH('LOG VẮNG'!$C$2:$C$1000)=3)*ISNUMBER(SEARCH($A84,'LOG VẮNG'!$D$2:$D$1000))))</f>
        <v/>
      </c>
      <c r="F84" s="40">
        <f>IF($B84="","",SUMPRODUCT(('LOG VẮNG'!$C$2:$C$1000&lt;&gt;"")*(YEAR('LOG VẮNG'!$C$2:$C$1000)=2026)*(MONTH('LOG VẮNG'!$C$2:$C$1000)=4)*ISNUMBER(SEARCH($A84,'LOG VẮNG'!$D$2:$D$1000))))</f>
        <v/>
      </c>
      <c r="G84" s="40">
        <f>IF($B84="","",SUMPRODUCT(('LOG VẮNG'!$C$2:$C$1000&lt;&gt;"")*(YEAR('LOG VẮNG'!$C$2:$C$1000)=2026)*(MONTH('LOG VẮNG'!$C$2:$C$1000)=5)*ISNUMBER(SEARCH($A84,'LOG VẮNG'!$D$2:$D$1000))))</f>
        <v/>
      </c>
      <c r="H84" s="40">
        <f>IF($B84="","",SUMPRODUCT(('LOG VẮNG'!$C$2:$C$1000&lt;&gt;"")*(YEAR('LOG VẮNG'!$C$2:$C$1000)=2026)*(MONTH('LOG VẮNG'!$C$2:$C$1000)=6)*ISNUMBER(SEARCH($A84,'LOG VẮNG'!$D$2:$D$1000))))</f>
        <v/>
      </c>
      <c r="I84" s="40">
        <f>IF($B84="","",SUMPRODUCT(('LOG VẮNG'!$C$2:$C$1000&lt;&gt;"")*(YEAR('LOG VẮNG'!$C$2:$C$1000)=2026)*(MONTH('LOG VẮNG'!$C$2:$C$1000)=7)*ISNUMBER(SEARCH($A84,'LOG VẮNG'!$D$2:$D$1000))))</f>
        <v/>
      </c>
      <c r="J84" s="40">
        <f>IF($B84="","",SUMPRODUCT(('LOG VẮNG'!$C$2:$C$1000&lt;&gt;"")*(YEAR('LOG VẮNG'!$C$2:$C$1000)=2026)*(MONTH('LOG VẮNG'!$C$2:$C$1000)=8)*ISNUMBER(SEARCH($A84,'LOG VẮNG'!$D$2:$D$1000))))</f>
        <v/>
      </c>
      <c r="K84" s="40">
        <f>IF($B84="","",SUMPRODUCT(('LOG VẮNG'!$C$2:$C$1000&lt;&gt;"")*(YEAR('LOG VẮNG'!$C$2:$C$1000)=2026)*(MONTH('LOG VẮNG'!$C$2:$C$1000)=9)*ISNUMBER(SEARCH($A84,'LOG VẮNG'!$D$2:$D$1000))))</f>
        <v/>
      </c>
      <c r="L84" s="40">
        <f>IF($B84="","",SUMPRODUCT(('LOG VẮNG'!$C$2:$C$1000&lt;&gt;"")*(YEAR('LOG VẮNG'!$C$2:$C$1000)=2026)*(MONTH('LOG VẮNG'!$C$2:$C$1000)=10)*ISNUMBER(SEARCH($A84,'LOG VẮNG'!$D$2:$D$1000))))</f>
        <v/>
      </c>
      <c r="M84" s="40">
        <f>IF($B84="","",SUMPRODUCT(('LOG VẮNG'!$C$2:$C$1000&lt;&gt;"")*(YEAR('LOG VẮNG'!$C$2:$C$1000)=2026)*(MONTH('LOG VẮNG'!$C$2:$C$1000)=11)*ISNUMBER(SEARCH($A84,'LOG VẮNG'!$D$2:$D$1000))))</f>
        <v/>
      </c>
      <c r="N84" s="40">
        <f>IF($B84="","",SUMPRODUCT(('LOG VẮNG'!$C$2:$C$1000&lt;&gt;"")*(YEAR('LOG VẮNG'!$C$2:$C$1000)=2026)*(MONTH('LOG VẮNG'!$C$2:$C$1000)=12)*ISNUMBER(SEARCH($A84,'LOG VẮNG'!$D$2:$D$1000))))</f>
        <v/>
      </c>
      <c r="O84" s="40">
        <f>IF($B84="","",SUM(C84:N84))</f>
        <v/>
      </c>
    </row>
    <row r="85">
      <c r="A85" s="40" t="inlineStr">
        <is>
          <t>ORI083</t>
        </is>
      </c>
      <c r="B85" s="46">
        <f>IFERROR(INDEX('HỌC VIÊN'!$B$4:$B$203,MATCH($A85,'HỌC VIÊN'!$A$4:$A$203,0)),"")</f>
        <v/>
      </c>
      <c r="C85" s="40">
        <f>IF($B85="","",SUMPRODUCT(('LOG VẮNG'!$C$2:$C$1000&lt;&gt;"")*(YEAR('LOG VẮNG'!$C$2:$C$1000)=2026)*(MONTH('LOG VẮNG'!$C$2:$C$1000)=1)*ISNUMBER(SEARCH($A85,'LOG VẮNG'!$D$2:$D$1000))))</f>
        <v/>
      </c>
      <c r="D85" s="40">
        <f>IF($B85="","",SUMPRODUCT(('LOG VẮNG'!$C$2:$C$1000&lt;&gt;"")*(YEAR('LOG VẮNG'!$C$2:$C$1000)=2026)*(MONTH('LOG VẮNG'!$C$2:$C$1000)=2)*ISNUMBER(SEARCH($A85,'LOG VẮNG'!$D$2:$D$1000))))</f>
        <v/>
      </c>
      <c r="E85" s="40">
        <f>IF($B85="","",SUMPRODUCT(('LOG VẮNG'!$C$2:$C$1000&lt;&gt;"")*(YEAR('LOG VẮNG'!$C$2:$C$1000)=2026)*(MONTH('LOG VẮNG'!$C$2:$C$1000)=3)*ISNUMBER(SEARCH($A85,'LOG VẮNG'!$D$2:$D$1000))))</f>
        <v/>
      </c>
      <c r="F85" s="40">
        <f>IF($B85="","",SUMPRODUCT(('LOG VẮNG'!$C$2:$C$1000&lt;&gt;"")*(YEAR('LOG VẮNG'!$C$2:$C$1000)=2026)*(MONTH('LOG VẮNG'!$C$2:$C$1000)=4)*ISNUMBER(SEARCH($A85,'LOG VẮNG'!$D$2:$D$1000))))</f>
        <v/>
      </c>
      <c r="G85" s="40">
        <f>IF($B85="","",SUMPRODUCT(('LOG VẮNG'!$C$2:$C$1000&lt;&gt;"")*(YEAR('LOG VẮNG'!$C$2:$C$1000)=2026)*(MONTH('LOG VẮNG'!$C$2:$C$1000)=5)*ISNUMBER(SEARCH($A85,'LOG VẮNG'!$D$2:$D$1000))))</f>
        <v/>
      </c>
      <c r="H85" s="40">
        <f>IF($B85="","",SUMPRODUCT(('LOG VẮNG'!$C$2:$C$1000&lt;&gt;"")*(YEAR('LOG VẮNG'!$C$2:$C$1000)=2026)*(MONTH('LOG VẮNG'!$C$2:$C$1000)=6)*ISNUMBER(SEARCH($A85,'LOG VẮNG'!$D$2:$D$1000))))</f>
        <v/>
      </c>
      <c r="I85" s="40">
        <f>IF($B85="","",SUMPRODUCT(('LOG VẮNG'!$C$2:$C$1000&lt;&gt;"")*(YEAR('LOG VẮNG'!$C$2:$C$1000)=2026)*(MONTH('LOG VẮNG'!$C$2:$C$1000)=7)*ISNUMBER(SEARCH($A85,'LOG VẮNG'!$D$2:$D$1000))))</f>
        <v/>
      </c>
      <c r="J85" s="40">
        <f>IF($B85="","",SUMPRODUCT(('LOG VẮNG'!$C$2:$C$1000&lt;&gt;"")*(YEAR('LOG VẮNG'!$C$2:$C$1000)=2026)*(MONTH('LOG VẮNG'!$C$2:$C$1000)=8)*ISNUMBER(SEARCH($A85,'LOG VẮNG'!$D$2:$D$1000))))</f>
        <v/>
      </c>
      <c r="K85" s="40">
        <f>IF($B85="","",SUMPRODUCT(('LOG VẮNG'!$C$2:$C$1000&lt;&gt;"")*(YEAR('LOG VẮNG'!$C$2:$C$1000)=2026)*(MONTH('LOG VẮNG'!$C$2:$C$1000)=9)*ISNUMBER(SEARCH($A85,'LOG VẮNG'!$D$2:$D$1000))))</f>
        <v/>
      </c>
      <c r="L85" s="40">
        <f>IF($B85="","",SUMPRODUCT(('LOG VẮNG'!$C$2:$C$1000&lt;&gt;"")*(YEAR('LOG VẮNG'!$C$2:$C$1000)=2026)*(MONTH('LOG VẮNG'!$C$2:$C$1000)=10)*ISNUMBER(SEARCH($A85,'LOG VẮNG'!$D$2:$D$1000))))</f>
        <v/>
      </c>
      <c r="M85" s="40">
        <f>IF($B85="","",SUMPRODUCT(('LOG VẮNG'!$C$2:$C$1000&lt;&gt;"")*(YEAR('LOG VẮNG'!$C$2:$C$1000)=2026)*(MONTH('LOG VẮNG'!$C$2:$C$1000)=11)*ISNUMBER(SEARCH($A85,'LOG VẮNG'!$D$2:$D$1000))))</f>
        <v/>
      </c>
      <c r="N85" s="40">
        <f>IF($B85="","",SUMPRODUCT(('LOG VẮNG'!$C$2:$C$1000&lt;&gt;"")*(YEAR('LOG VẮNG'!$C$2:$C$1000)=2026)*(MONTH('LOG VẮNG'!$C$2:$C$1000)=12)*ISNUMBER(SEARCH($A85,'LOG VẮNG'!$D$2:$D$1000))))</f>
        <v/>
      </c>
      <c r="O85" s="40">
        <f>IF($B85="","",SUM(C85:N85))</f>
        <v/>
      </c>
    </row>
    <row r="86">
      <c r="A86" s="40" t="inlineStr">
        <is>
          <t>ORI084</t>
        </is>
      </c>
      <c r="B86" s="46">
        <f>IFERROR(INDEX('HỌC VIÊN'!$B$4:$B$203,MATCH($A86,'HỌC VIÊN'!$A$4:$A$203,0)),"")</f>
        <v/>
      </c>
      <c r="C86" s="40">
        <f>IF($B86="","",SUMPRODUCT(('LOG VẮNG'!$C$2:$C$1000&lt;&gt;"")*(YEAR('LOG VẮNG'!$C$2:$C$1000)=2026)*(MONTH('LOG VẮNG'!$C$2:$C$1000)=1)*ISNUMBER(SEARCH($A86,'LOG VẮNG'!$D$2:$D$1000))))</f>
        <v/>
      </c>
      <c r="D86" s="40">
        <f>IF($B86="","",SUMPRODUCT(('LOG VẮNG'!$C$2:$C$1000&lt;&gt;"")*(YEAR('LOG VẮNG'!$C$2:$C$1000)=2026)*(MONTH('LOG VẮNG'!$C$2:$C$1000)=2)*ISNUMBER(SEARCH($A86,'LOG VẮNG'!$D$2:$D$1000))))</f>
        <v/>
      </c>
      <c r="E86" s="40">
        <f>IF($B86="","",SUMPRODUCT(('LOG VẮNG'!$C$2:$C$1000&lt;&gt;"")*(YEAR('LOG VẮNG'!$C$2:$C$1000)=2026)*(MONTH('LOG VẮNG'!$C$2:$C$1000)=3)*ISNUMBER(SEARCH($A86,'LOG VẮNG'!$D$2:$D$1000))))</f>
        <v/>
      </c>
      <c r="F86" s="40">
        <f>IF($B86="","",SUMPRODUCT(('LOG VẮNG'!$C$2:$C$1000&lt;&gt;"")*(YEAR('LOG VẮNG'!$C$2:$C$1000)=2026)*(MONTH('LOG VẮNG'!$C$2:$C$1000)=4)*ISNUMBER(SEARCH($A86,'LOG VẮNG'!$D$2:$D$1000))))</f>
        <v/>
      </c>
      <c r="G86" s="40">
        <f>IF($B86="","",SUMPRODUCT(('LOG VẮNG'!$C$2:$C$1000&lt;&gt;"")*(YEAR('LOG VẮNG'!$C$2:$C$1000)=2026)*(MONTH('LOG VẮNG'!$C$2:$C$1000)=5)*ISNUMBER(SEARCH($A86,'LOG VẮNG'!$D$2:$D$1000))))</f>
        <v/>
      </c>
      <c r="H86" s="40">
        <f>IF($B86="","",SUMPRODUCT(('LOG VẮNG'!$C$2:$C$1000&lt;&gt;"")*(YEAR('LOG VẮNG'!$C$2:$C$1000)=2026)*(MONTH('LOG VẮNG'!$C$2:$C$1000)=6)*ISNUMBER(SEARCH($A86,'LOG VẮNG'!$D$2:$D$1000))))</f>
        <v/>
      </c>
      <c r="I86" s="40">
        <f>IF($B86="","",SUMPRODUCT(('LOG VẮNG'!$C$2:$C$1000&lt;&gt;"")*(YEAR('LOG VẮNG'!$C$2:$C$1000)=2026)*(MONTH('LOG VẮNG'!$C$2:$C$1000)=7)*ISNUMBER(SEARCH($A86,'LOG VẮNG'!$D$2:$D$1000))))</f>
        <v/>
      </c>
      <c r="J86" s="40">
        <f>IF($B86="","",SUMPRODUCT(('LOG VẮNG'!$C$2:$C$1000&lt;&gt;"")*(YEAR('LOG VẮNG'!$C$2:$C$1000)=2026)*(MONTH('LOG VẮNG'!$C$2:$C$1000)=8)*ISNUMBER(SEARCH($A86,'LOG VẮNG'!$D$2:$D$1000))))</f>
        <v/>
      </c>
      <c r="K86" s="40">
        <f>IF($B86="","",SUMPRODUCT(('LOG VẮNG'!$C$2:$C$1000&lt;&gt;"")*(YEAR('LOG VẮNG'!$C$2:$C$1000)=2026)*(MONTH('LOG VẮNG'!$C$2:$C$1000)=9)*ISNUMBER(SEARCH($A86,'LOG VẮNG'!$D$2:$D$1000))))</f>
        <v/>
      </c>
      <c r="L86" s="40">
        <f>IF($B86="","",SUMPRODUCT(('LOG VẮNG'!$C$2:$C$1000&lt;&gt;"")*(YEAR('LOG VẮNG'!$C$2:$C$1000)=2026)*(MONTH('LOG VẮNG'!$C$2:$C$1000)=10)*ISNUMBER(SEARCH($A86,'LOG VẮNG'!$D$2:$D$1000))))</f>
        <v/>
      </c>
      <c r="M86" s="40">
        <f>IF($B86="","",SUMPRODUCT(('LOG VẮNG'!$C$2:$C$1000&lt;&gt;"")*(YEAR('LOG VẮNG'!$C$2:$C$1000)=2026)*(MONTH('LOG VẮNG'!$C$2:$C$1000)=11)*ISNUMBER(SEARCH($A86,'LOG VẮNG'!$D$2:$D$1000))))</f>
        <v/>
      </c>
      <c r="N86" s="40">
        <f>IF($B86="","",SUMPRODUCT(('LOG VẮNG'!$C$2:$C$1000&lt;&gt;"")*(YEAR('LOG VẮNG'!$C$2:$C$1000)=2026)*(MONTH('LOG VẮNG'!$C$2:$C$1000)=12)*ISNUMBER(SEARCH($A86,'LOG VẮNG'!$D$2:$D$1000))))</f>
        <v/>
      </c>
      <c r="O86" s="40">
        <f>IF($B86="","",SUM(C86:N86))</f>
        <v/>
      </c>
    </row>
    <row r="87">
      <c r="A87" s="40" t="inlineStr">
        <is>
          <t>ORI085</t>
        </is>
      </c>
      <c r="B87" s="46">
        <f>IFERROR(INDEX('HỌC VIÊN'!$B$4:$B$203,MATCH($A87,'HỌC VIÊN'!$A$4:$A$203,0)),"")</f>
        <v/>
      </c>
      <c r="C87" s="40">
        <f>IF($B87="","",SUMPRODUCT(('LOG VẮNG'!$C$2:$C$1000&lt;&gt;"")*(YEAR('LOG VẮNG'!$C$2:$C$1000)=2026)*(MONTH('LOG VẮNG'!$C$2:$C$1000)=1)*ISNUMBER(SEARCH($A87,'LOG VẮNG'!$D$2:$D$1000))))</f>
        <v/>
      </c>
      <c r="D87" s="40">
        <f>IF($B87="","",SUMPRODUCT(('LOG VẮNG'!$C$2:$C$1000&lt;&gt;"")*(YEAR('LOG VẮNG'!$C$2:$C$1000)=2026)*(MONTH('LOG VẮNG'!$C$2:$C$1000)=2)*ISNUMBER(SEARCH($A87,'LOG VẮNG'!$D$2:$D$1000))))</f>
        <v/>
      </c>
      <c r="E87" s="40">
        <f>IF($B87="","",SUMPRODUCT(('LOG VẮNG'!$C$2:$C$1000&lt;&gt;"")*(YEAR('LOG VẮNG'!$C$2:$C$1000)=2026)*(MONTH('LOG VẮNG'!$C$2:$C$1000)=3)*ISNUMBER(SEARCH($A87,'LOG VẮNG'!$D$2:$D$1000))))</f>
        <v/>
      </c>
      <c r="F87" s="40">
        <f>IF($B87="","",SUMPRODUCT(('LOG VẮNG'!$C$2:$C$1000&lt;&gt;"")*(YEAR('LOG VẮNG'!$C$2:$C$1000)=2026)*(MONTH('LOG VẮNG'!$C$2:$C$1000)=4)*ISNUMBER(SEARCH($A87,'LOG VẮNG'!$D$2:$D$1000))))</f>
        <v/>
      </c>
      <c r="G87" s="40">
        <f>IF($B87="","",SUMPRODUCT(('LOG VẮNG'!$C$2:$C$1000&lt;&gt;"")*(YEAR('LOG VẮNG'!$C$2:$C$1000)=2026)*(MONTH('LOG VẮNG'!$C$2:$C$1000)=5)*ISNUMBER(SEARCH($A87,'LOG VẮNG'!$D$2:$D$1000))))</f>
        <v/>
      </c>
      <c r="H87" s="40">
        <f>IF($B87="","",SUMPRODUCT(('LOG VẮNG'!$C$2:$C$1000&lt;&gt;"")*(YEAR('LOG VẮNG'!$C$2:$C$1000)=2026)*(MONTH('LOG VẮNG'!$C$2:$C$1000)=6)*ISNUMBER(SEARCH($A87,'LOG VẮNG'!$D$2:$D$1000))))</f>
        <v/>
      </c>
      <c r="I87" s="40">
        <f>IF($B87="","",SUMPRODUCT(('LOG VẮNG'!$C$2:$C$1000&lt;&gt;"")*(YEAR('LOG VẮNG'!$C$2:$C$1000)=2026)*(MONTH('LOG VẮNG'!$C$2:$C$1000)=7)*ISNUMBER(SEARCH($A87,'LOG VẮNG'!$D$2:$D$1000))))</f>
        <v/>
      </c>
      <c r="J87" s="40">
        <f>IF($B87="","",SUMPRODUCT(('LOG VẮNG'!$C$2:$C$1000&lt;&gt;"")*(YEAR('LOG VẮNG'!$C$2:$C$1000)=2026)*(MONTH('LOG VẮNG'!$C$2:$C$1000)=8)*ISNUMBER(SEARCH($A87,'LOG VẮNG'!$D$2:$D$1000))))</f>
        <v/>
      </c>
      <c r="K87" s="40">
        <f>IF($B87="","",SUMPRODUCT(('LOG VẮNG'!$C$2:$C$1000&lt;&gt;"")*(YEAR('LOG VẮNG'!$C$2:$C$1000)=2026)*(MONTH('LOG VẮNG'!$C$2:$C$1000)=9)*ISNUMBER(SEARCH($A87,'LOG VẮNG'!$D$2:$D$1000))))</f>
        <v/>
      </c>
      <c r="L87" s="40">
        <f>IF($B87="","",SUMPRODUCT(('LOG VẮNG'!$C$2:$C$1000&lt;&gt;"")*(YEAR('LOG VẮNG'!$C$2:$C$1000)=2026)*(MONTH('LOG VẮNG'!$C$2:$C$1000)=10)*ISNUMBER(SEARCH($A87,'LOG VẮNG'!$D$2:$D$1000))))</f>
        <v/>
      </c>
      <c r="M87" s="40">
        <f>IF($B87="","",SUMPRODUCT(('LOG VẮNG'!$C$2:$C$1000&lt;&gt;"")*(YEAR('LOG VẮNG'!$C$2:$C$1000)=2026)*(MONTH('LOG VẮNG'!$C$2:$C$1000)=11)*ISNUMBER(SEARCH($A87,'LOG VẮNG'!$D$2:$D$1000))))</f>
        <v/>
      </c>
      <c r="N87" s="40">
        <f>IF($B87="","",SUMPRODUCT(('LOG VẮNG'!$C$2:$C$1000&lt;&gt;"")*(YEAR('LOG VẮNG'!$C$2:$C$1000)=2026)*(MONTH('LOG VẮNG'!$C$2:$C$1000)=12)*ISNUMBER(SEARCH($A87,'LOG VẮNG'!$D$2:$D$1000))))</f>
        <v/>
      </c>
      <c r="O87" s="40">
        <f>IF($B87="","",SUM(C87:N87))</f>
        <v/>
      </c>
    </row>
    <row r="88">
      <c r="A88" s="40" t="inlineStr">
        <is>
          <t>ORI086</t>
        </is>
      </c>
      <c r="B88" s="46">
        <f>IFERROR(INDEX('HỌC VIÊN'!$B$4:$B$203,MATCH($A88,'HỌC VIÊN'!$A$4:$A$203,0)),"")</f>
        <v/>
      </c>
      <c r="C88" s="40">
        <f>IF($B88="","",SUMPRODUCT(('LOG VẮNG'!$C$2:$C$1000&lt;&gt;"")*(YEAR('LOG VẮNG'!$C$2:$C$1000)=2026)*(MONTH('LOG VẮNG'!$C$2:$C$1000)=1)*ISNUMBER(SEARCH($A88,'LOG VẮNG'!$D$2:$D$1000))))</f>
        <v/>
      </c>
      <c r="D88" s="40">
        <f>IF($B88="","",SUMPRODUCT(('LOG VẮNG'!$C$2:$C$1000&lt;&gt;"")*(YEAR('LOG VẮNG'!$C$2:$C$1000)=2026)*(MONTH('LOG VẮNG'!$C$2:$C$1000)=2)*ISNUMBER(SEARCH($A88,'LOG VẮNG'!$D$2:$D$1000))))</f>
        <v/>
      </c>
      <c r="E88" s="40">
        <f>IF($B88="","",SUMPRODUCT(('LOG VẮNG'!$C$2:$C$1000&lt;&gt;"")*(YEAR('LOG VẮNG'!$C$2:$C$1000)=2026)*(MONTH('LOG VẮNG'!$C$2:$C$1000)=3)*ISNUMBER(SEARCH($A88,'LOG VẮNG'!$D$2:$D$1000))))</f>
        <v/>
      </c>
      <c r="F88" s="40">
        <f>IF($B88="","",SUMPRODUCT(('LOG VẮNG'!$C$2:$C$1000&lt;&gt;"")*(YEAR('LOG VẮNG'!$C$2:$C$1000)=2026)*(MONTH('LOG VẮNG'!$C$2:$C$1000)=4)*ISNUMBER(SEARCH($A88,'LOG VẮNG'!$D$2:$D$1000))))</f>
        <v/>
      </c>
      <c r="G88" s="40">
        <f>IF($B88="","",SUMPRODUCT(('LOG VẮNG'!$C$2:$C$1000&lt;&gt;"")*(YEAR('LOG VẮNG'!$C$2:$C$1000)=2026)*(MONTH('LOG VẮNG'!$C$2:$C$1000)=5)*ISNUMBER(SEARCH($A88,'LOG VẮNG'!$D$2:$D$1000))))</f>
        <v/>
      </c>
      <c r="H88" s="40">
        <f>IF($B88="","",SUMPRODUCT(('LOG VẮNG'!$C$2:$C$1000&lt;&gt;"")*(YEAR('LOG VẮNG'!$C$2:$C$1000)=2026)*(MONTH('LOG VẮNG'!$C$2:$C$1000)=6)*ISNUMBER(SEARCH($A88,'LOG VẮNG'!$D$2:$D$1000))))</f>
        <v/>
      </c>
      <c r="I88" s="40">
        <f>IF($B88="","",SUMPRODUCT(('LOG VẮNG'!$C$2:$C$1000&lt;&gt;"")*(YEAR('LOG VẮNG'!$C$2:$C$1000)=2026)*(MONTH('LOG VẮNG'!$C$2:$C$1000)=7)*ISNUMBER(SEARCH($A88,'LOG VẮNG'!$D$2:$D$1000))))</f>
        <v/>
      </c>
      <c r="J88" s="40">
        <f>IF($B88="","",SUMPRODUCT(('LOG VẮNG'!$C$2:$C$1000&lt;&gt;"")*(YEAR('LOG VẮNG'!$C$2:$C$1000)=2026)*(MONTH('LOG VẮNG'!$C$2:$C$1000)=8)*ISNUMBER(SEARCH($A88,'LOG VẮNG'!$D$2:$D$1000))))</f>
        <v/>
      </c>
      <c r="K88" s="40">
        <f>IF($B88="","",SUMPRODUCT(('LOG VẮNG'!$C$2:$C$1000&lt;&gt;"")*(YEAR('LOG VẮNG'!$C$2:$C$1000)=2026)*(MONTH('LOG VẮNG'!$C$2:$C$1000)=9)*ISNUMBER(SEARCH($A88,'LOG VẮNG'!$D$2:$D$1000))))</f>
        <v/>
      </c>
      <c r="L88" s="40">
        <f>IF($B88="","",SUMPRODUCT(('LOG VẮNG'!$C$2:$C$1000&lt;&gt;"")*(YEAR('LOG VẮNG'!$C$2:$C$1000)=2026)*(MONTH('LOG VẮNG'!$C$2:$C$1000)=10)*ISNUMBER(SEARCH($A88,'LOG VẮNG'!$D$2:$D$1000))))</f>
        <v/>
      </c>
      <c r="M88" s="40">
        <f>IF($B88="","",SUMPRODUCT(('LOG VẮNG'!$C$2:$C$1000&lt;&gt;"")*(YEAR('LOG VẮNG'!$C$2:$C$1000)=2026)*(MONTH('LOG VẮNG'!$C$2:$C$1000)=11)*ISNUMBER(SEARCH($A88,'LOG VẮNG'!$D$2:$D$1000))))</f>
        <v/>
      </c>
      <c r="N88" s="40">
        <f>IF($B88="","",SUMPRODUCT(('LOG VẮNG'!$C$2:$C$1000&lt;&gt;"")*(YEAR('LOG VẮNG'!$C$2:$C$1000)=2026)*(MONTH('LOG VẮNG'!$C$2:$C$1000)=12)*ISNUMBER(SEARCH($A88,'LOG VẮNG'!$D$2:$D$1000))))</f>
        <v/>
      </c>
      <c r="O88" s="40">
        <f>IF($B88="","",SUM(C88:N88))</f>
        <v/>
      </c>
    </row>
    <row r="89">
      <c r="A89" s="40" t="inlineStr">
        <is>
          <t>ORI087</t>
        </is>
      </c>
      <c r="B89" s="46">
        <f>IFERROR(INDEX('HỌC VIÊN'!$B$4:$B$203,MATCH($A89,'HỌC VIÊN'!$A$4:$A$203,0)),"")</f>
        <v/>
      </c>
      <c r="C89" s="40">
        <f>IF($B89="","",SUMPRODUCT(('LOG VẮNG'!$C$2:$C$1000&lt;&gt;"")*(YEAR('LOG VẮNG'!$C$2:$C$1000)=2026)*(MONTH('LOG VẮNG'!$C$2:$C$1000)=1)*ISNUMBER(SEARCH($A89,'LOG VẮNG'!$D$2:$D$1000))))</f>
        <v/>
      </c>
      <c r="D89" s="40">
        <f>IF($B89="","",SUMPRODUCT(('LOG VẮNG'!$C$2:$C$1000&lt;&gt;"")*(YEAR('LOG VẮNG'!$C$2:$C$1000)=2026)*(MONTH('LOG VẮNG'!$C$2:$C$1000)=2)*ISNUMBER(SEARCH($A89,'LOG VẮNG'!$D$2:$D$1000))))</f>
        <v/>
      </c>
      <c r="E89" s="40">
        <f>IF($B89="","",SUMPRODUCT(('LOG VẮNG'!$C$2:$C$1000&lt;&gt;"")*(YEAR('LOG VẮNG'!$C$2:$C$1000)=2026)*(MONTH('LOG VẮNG'!$C$2:$C$1000)=3)*ISNUMBER(SEARCH($A89,'LOG VẮNG'!$D$2:$D$1000))))</f>
        <v/>
      </c>
      <c r="F89" s="40">
        <f>IF($B89="","",SUMPRODUCT(('LOG VẮNG'!$C$2:$C$1000&lt;&gt;"")*(YEAR('LOG VẮNG'!$C$2:$C$1000)=2026)*(MONTH('LOG VẮNG'!$C$2:$C$1000)=4)*ISNUMBER(SEARCH($A89,'LOG VẮNG'!$D$2:$D$1000))))</f>
        <v/>
      </c>
      <c r="G89" s="40">
        <f>IF($B89="","",SUMPRODUCT(('LOG VẮNG'!$C$2:$C$1000&lt;&gt;"")*(YEAR('LOG VẮNG'!$C$2:$C$1000)=2026)*(MONTH('LOG VẮNG'!$C$2:$C$1000)=5)*ISNUMBER(SEARCH($A89,'LOG VẮNG'!$D$2:$D$1000))))</f>
        <v/>
      </c>
      <c r="H89" s="40">
        <f>IF($B89="","",SUMPRODUCT(('LOG VẮNG'!$C$2:$C$1000&lt;&gt;"")*(YEAR('LOG VẮNG'!$C$2:$C$1000)=2026)*(MONTH('LOG VẮNG'!$C$2:$C$1000)=6)*ISNUMBER(SEARCH($A89,'LOG VẮNG'!$D$2:$D$1000))))</f>
        <v/>
      </c>
      <c r="I89" s="40">
        <f>IF($B89="","",SUMPRODUCT(('LOG VẮNG'!$C$2:$C$1000&lt;&gt;"")*(YEAR('LOG VẮNG'!$C$2:$C$1000)=2026)*(MONTH('LOG VẮNG'!$C$2:$C$1000)=7)*ISNUMBER(SEARCH($A89,'LOG VẮNG'!$D$2:$D$1000))))</f>
        <v/>
      </c>
      <c r="J89" s="40">
        <f>IF($B89="","",SUMPRODUCT(('LOG VẮNG'!$C$2:$C$1000&lt;&gt;"")*(YEAR('LOG VẮNG'!$C$2:$C$1000)=2026)*(MONTH('LOG VẮNG'!$C$2:$C$1000)=8)*ISNUMBER(SEARCH($A89,'LOG VẮNG'!$D$2:$D$1000))))</f>
        <v/>
      </c>
      <c r="K89" s="40">
        <f>IF($B89="","",SUMPRODUCT(('LOG VẮNG'!$C$2:$C$1000&lt;&gt;"")*(YEAR('LOG VẮNG'!$C$2:$C$1000)=2026)*(MONTH('LOG VẮNG'!$C$2:$C$1000)=9)*ISNUMBER(SEARCH($A89,'LOG VẮNG'!$D$2:$D$1000))))</f>
        <v/>
      </c>
      <c r="L89" s="40">
        <f>IF($B89="","",SUMPRODUCT(('LOG VẮNG'!$C$2:$C$1000&lt;&gt;"")*(YEAR('LOG VẮNG'!$C$2:$C$1000)=2026)*(MONTH('LOG VẮNG'!$C$2:$C$1000)=10)*ISNUMBER(SEARCH($A89,'LOG VẮNG'!$D$2:$D$1000))))</f>
        <v/>
      </c>
      <c r="M89" s="40">
        <f>IF($B89="","",SUMPRODUCT(('LOG VẮNG'!$C$2:$C$1000&lt;&gt;"")*(YEAR('LOG VẮNG'!$C$2:$C$1000)=2026)*(MONTH('LOG VẮNG'!$C$2:$C$1000)=11)*ISNUMBER(SEARCH($A89,'LOG VẮNG'!$D$2:$D$1000))))</f>
        <v/>
      </c>
      <c r="N89" s="40">
        <f>IF($B89="","",SUMPRODUCT(('LOG VẮNG'!$C$2:$C$1000&lt;&gt;"")*(YEAR('LOG VẮNG'!$C$2:$C$1000)=2026)*(MONTH('LOG VẮNG'!$C$2:$C$1000)=12)*ISNUMBER(SEARCH($A89,'LOG VẮNG'!$D$2:$D$1000))))</f>
        <v/>
      </c>
      <c r="O89" s="40">
        <f>IF($B89="","",SUM(C89:N89))</f>
        <v/>
      </c>
    </row>
    <row r="90">
      <c r="A90" s="40" t="inlineStr">
        <is>
          <t>ORI088</t>
        </is>
      </c>
      <c r="B90" s="46">
        <f>IFERROR(INDEX('HỌC VIÊN'!$B$4:$B$203,MATCH($A90,'HỌC VIÊN'!$A$4:$A$203,0)),"")</f>
        <v/>
      </c>
      <c r="C90" s="40">
        <f>IF($B90="","",SUMPRODUCT(('LOG VẮNG'!$C$2:$C$1000&lt;&gt;"")*(YEAR('LOG VẮNG'!$C$2:$C$1000)=2026)*(MONTH('LOG VẮNG'!$C$2:$C$1000)=1)*ISNUMBER(SEARCH($A90,'LOG VẮNG'!$D$2:$D$1000))))</f>
        <v/>
      </c>
      <c r="D90" s="40">
        <f>IF($B90="","",SUMPRODUCT(('LOG VẮNG'!$C$2:$C$1000&lt;&gt;"")*(YEAR('LOG VẮNG'!$C$2:$C$1000)=2026)*(MONTH('LOG VẮNG'!$C$2:$C$1000)=2)*ISNUMBER(SEARCH($A90,'LOG VẮNG'!$D$2:$D$1000))))</f>
        <v/>
      </c>
      <c r="E90" s="40">
        <f>IF($B90="","",SUMPRODUCT(('LOG VẮNG'!$C$2:$C$1000&lt;&gt;"")*(YEAR('LOG VẮNG'!$C$2:$C$1000)=2026)*(MONTH('LOG VẮNG'!$C$2:$C$1000)=3)*ISNUMBER(SEARCH($A90,'LOG VẮNG'!$D$2:$D$1000))))</f>
        <v/>
      </c>
      <c r="F90" s="40">
        <f>IF($B90="","",SUMPRODUCT(('LOG VẮNG'!$C$2:$C$1000&lt;&gt;"")*(YEAR('LOG VẮNG'!$C$2:$C$1000)=2026)*(MONTH('LOG VẮNG'!$C$2:$C$1000)=4)*ISNUMBER(SEARCH($A90,'LOG VẮNG'!$D$2:$D$1000))))</f>
        <v/>
      </c>
      <c r="G90" s="40">
        <f>IF($B90="","",SUMPRODUCT(('LOG VẮNG'!$C$2:$C$1000&lt;&gt;"")*(YEAR('LOG VẮNG'!$C$2:$C$1000)=2026)*(MONTH('LOG VẮNG'!$C$2:$C$1000)=5)*ISNUMBER(SEARCH($A90,'LOG VẮNG'!$D$2:$D$1000))))</f>
        <v/>
      </c>
      <c r="H90" s="40">
        <f>IF($B90="","",SUMPRODUCT(('LOG VẮNG'!$C$2:$C$1000&lt;&gt;"")*(YEAR('LOG VẮNG'!$C$2:$C$1000)=2026)*(MONTH('LOG VẮNG'!$C$2:$C$1000)=6)*ISNUMBER(SEARCH($A90,'LOG VẮNG'!$D$2:$D$1000))))</f>
        <v/>
      </c>
      <c r="I90" s="40">
        <f>IF($B90="","",SUMPRODUCT(('LOG VẮNG'!$C$2:$C$1000&lt;&gt;"")*(YEAR('LOG VẮNG'!$C$2:$C$1000)=2026)*(MONTH('LOG VẮNG'!$C$2:$C$1000)=7)*ISNUMBER(SEARCH($A90,'LOG VẮNG'!$D$2:$D$1000))))</f>
        <v/>
      </c>
      <c r="J90" s="40">
        <f>IF($B90="","",SUMPRODUCT(('LOG VẮNG'!$C$2:$C$1000&lt;&gt;"")*(YEAR('LOG VẮNG'!$C$2:$C$1000)=2026)*(MONTH('LOG VẮNG'!$C$2:$C$1000)=8)*ISNUMBER(SEARCH($A90,'LOG VẮNG'!$D$2:$D$1000))))</f>
        <v/>
      </c>
      <c r="K90" s="40">
        <f>IF($B90="","",SUMPRODUCT(('LOG VẮNG'!$C$2:$C$1000&lt;&gt;"")*(YEAR('LOG VẮNG'!$C$2:$C$1000)=2026)*(MONTH('LOG VẮNG'!$C$2:$C$1000)=9)*ISNUMBER(SEARCH($A90,'LOG VẮNG'!$D$2:$D$1000))))</f>
        <v/>
      </c>
      <c r="L90" s="40">
        <f>IF($B90="","",SUMPRODUCT(('LOG VẮNG'!$C$2:$C$1000&lt;&gt;"")*(YEAR('LOG VẮNG'!$C$2:$C$1000)=2026)*(MONTH('LOG VẮNG'!$C$2:$C$1000)=10)*ISNUMBER(SEARCH($A90,'LOG VẮNG'!$D$2:$D$1000))))</f>
        <v/>
      </c>
      <c r="M90" s="40">
        <f>IF($B90="","",SUMPRODUCT(('LOG VẮNG'!$C$2:$C$1000&lt;&gt;"")*(YEAR('LOG VẮNG'!$C$2:$C$1000)=2026)*(MONTH('LOG VẮNG'!$C$2:$C$1000)=11)*ISNUMBER(SEARCH($A90,'LOG VẮNG'!$D$2:$D$1000))))</f>
        <v/>
      </c>
      <c r="N90" s="40">
        <f>IF($B90="","",SUMPRODUCT(('LOG VẮNG'!$C$2:$C$1000&lt;&gt;"")*(YEAR('LOG VẮNG'!$C$2:$C$1000)=2026)*(MONTH('LOG VẮNG'!$C$2:$C$1000)=12)*ISNUMBER(SEARCH($A90,'LOG VẮNG'!$D$2:$D$1000))))</f>
        <v/>
      </c>
      <c r="O90" s="40">
        <f>IF($B90="","",SUM(C90:N90))</f>
        <v/>
      </c>
    </row>
    <row r="91">
      <c r="A91" s="40" t="inlineStr">
        <is>
          <t>ORI089</t>
        </is>
      </c>
      <c r="B91" s="46">
        <f>IFERROR(INDEX('HỌC VIÊN'!$B$4:$B$203,MATCH($A91,'HỌC VIÊN'!$A$4:$A$203,0)),"")</f>
        <v/>
      </c>
      <c r="C91" s="40">
        <f>IF($B91="","",SUMPRODUCT(('LOG VẮNG'!$C$2:$C$1000&lt;&gt;"")*(YEAR('LOG VẮNG'!$C$2:$C$1000)=2026)*(MONTH('LOG VẮNG'!$C$2:$C$1000)=1)*ISNUMBER(SEARCH($A91,'LOG VẮNG'!$D$2:$D$1000))))</f>
        <v/>
      </c>
      <c r="D91" s="40">
        <f>IF($B91="","",SUMPRODUCT(('LOG VẮNG'!$C$2:$C$1000&lt;&gt;"")*(YEAR('LOG VẮNG'!$C$2:$C$1000)=2026)*(MONTH('LOG VẮNG'!$C$2:$C$1000)=2)*ISNUMBER(SEARCH($A91,'LOG VẮNG'!$D$2:$D$1000))))</f>
        <v/>
      </c>
      <c r="E91" s="40">
        <f>IF($B91="","",SUMPRODUCT(('LOG VẮNG'!$C$2:$C$1000&lt;&gt;"")*(YEAR('LOG VẮNG'!$C$2:$C$1000)=2026)*(MONTH('LOG VẮNG'!$C$2:$C$1000)=3)*ISNUMBER(SEARCH($A91,'LOG VẮNG'!$D$2:$D$1000))))</f>
        <v/>
      </c>
      <c r="F91" s="40">
        <f>IF($B91="","",SUMPRODUCT(('LOG VẮNG'!$C$2:$C$1000&lt;&gt;"")*(YEAR('LOG VẮNG'!$C$2:$C$1000)=2026)*(MONTH('LOG VẮNG'!$C$2:$C$1000)=4)*ISNUMBER(SEARCH($A91,'LOG VẮNG'!$D$2:$D$1000))))</f>
        <v/>
      </c>
      <c r="G91" s="40">
        <f>IF($B91="","",SUMPRODUCT(('LOG VẮNG'!$C$2:$C$1000&lt;&gt;"")*(YEAR('LOG VẮNG'!$C$2:$C$1000)=2026)*(MONTH('LOG VẮNG'!$C$2:$C$1000)=5)*ISNUMBER(SEARCH($A91,'LOG VẮNG'!$D$2:$D$1000))))</f>
        <v/>
      </c>
      <c r="H91" s="40">
        <f>IF($B91="","",SUMPRODUCT(('LOG VẮNG'!$C$2:$C$1000&lt;&gt;"")*(YEAR('LOG VẮNG'!$C$2:$C$1000)=2026)*(MONTH('LOG VẮNG'!$C$2:$C$1000)=6)*ISNUMBER(SEARCH($A91,'LOG VẮNG'!$D$2:$D$1000))))</f>
        <v/>
      </c>
      <c r="I91" s="40">
        <f>IF($B91="","",SUMPRODUCT(('LOG VẮNG'!$C$2:$C$1000&lt;&gt;"")*(YEAR('LOG VẮNG'!$C$2:$C$1000)=2026)*(MONTH('LOG VẮNG'!$C$2:$C$1000)=7)*ISNUMBER(SEARCH($A91,'LOG VẮNG'!$D$2:$D$1000))))</f>
        <v/>
      </c>
      <c r="J91" s="40">
        <f>IF($B91="","",SUMPRODUCT(('LOG VẮNG'!$C$2:$C$1000&lt;&gt;"")*(YEAR('LOG VẮNG'!$C$2:$C$1000)=2026)*(MONTH('LOG VẮNG'!$C$2:$C$1000)=8)*ISNUMBER(SEARCH($A91,'LOG VẮNG'!$D$2:$D$1000))))</f>
        <v/>
      </c>
      <c r="K91" s="40">
        <f>IF($B91="","",SUMPRODUCT(('LOG VẮNG'!$C$2:$C$1000&lt;&gt;"")*(YEAR('LOG VẮNG'!$C$2:$C$1000)=2026)*(MONTH('LOG VẮNG'!$C$2:$C$1000)=9)*ISNUMBER(SEARCH($A91,'LOG VẮNG'!$D$2:$D$1000))))</f>
        <v/>
      </c>
      <c r="L91" s="40">
        <f>IF($B91="","",SUMPRODUCT(('LOG VẮNG'!$C$2:$C$1000&lt;&gt;"")*(YEAR('LOG VẮNG'!$C$2:$C$1000)=2026)*(MONTH('LOG VẮNG'!$C$2:$C$1000)=10)*ISNUMBER(SEARCH($A91,'LOG VẮNG'!$D$2:$D$1000))))</f>
        <v/>
      </c>
      <c r="M91" s="40">
        <f>IF($B91="","",SUMPRODUCT(('LOG VẮNG'!$C$2:$C$1000&lt;&gt;"")*(YEAR('LOG VẮNG'!$C$2:$C$1000)=2026)*(MONTH('LOG VẮNG'!$C$2:$C$1000)=11)*ISNUMBER(SEARCH($A91,'LOG VẮNG'!$D$2:$D$1000))))</f>
        <v/>
      </c>
      <c r="N91" s="40">
        <f>IF($B91="","",SUMPRODUCT(('LOG VẮNG'!$C$2:$C$1000&lt;&gt;"")*(YEAR('LOG VẮNG'!$C$2:$C$1000)=2026)*(MONTH('LOG VẮNG'!$C$2:$C$1000)=12)*ISNUMBER(SEARCH($A91,'LOG VẮNG'!$D$2:$D$1000))))</f>
        <v/>
      </c>
      <c r="O91" s="40">
        <f>IF($B91="","",SUM(C91:N91))</f>
        <v/>
      </c>
    </row>
    <row r="92">
      <c r="A92" s="40" t="inlineStr">
        <is>
          <t>ORI090</t>
        </is>
      </c>
      <c r="B92" s="46">
        <f>IFERROR(INDEX('HỌC VIÊN'!$B$4:$B$203,MATCH($A92,'HỌC VIÊN'!$A$4:$A$203,0)),"")</f>
        <v/>
      </c>
      <c r="C92" s="40">
        <f>IF($B92="","",SUMPRODUCT(('LOG VẮNG'!$C$2:$C$1000&lt;&gt;"")*(YEAR('LOG VẮNG'!$C$2:$C$1000)=2026)*(MONTH('LOG VẮNG'!$C$2:$C$1000)=1)*ISNUMBER(SEARCH($A92,'LOG VẮNG'!$D$2:$D$1000))))</f>
        <v/>
      </c>
      <c r="D92" s="40">
        <f>IF($B92="","",SUMPRODUCT(('LOG VẮNG'!$C$2:$C$1000&lt;&gt;"")*(YEAR('LOG VẮNG'!$C$2:$C$1000)=2026)*(MONTH('LOG VẮNG'!$C$2:$C$1000)=2)*ISNUMBER(SEARCH($A92,'LOG VẮNG'!$D$2:$D$1000))))</f>
        <v/>
      </c>
      <c r="E92" s="40">
        <f>IF($B92="","",SUMPRODUCT(('LOG VẮNG'!$C$2:$C$1000&lt;&gt;"")*(YEAR('LOG VẮNG'!$C$2:$C$1000)=2026)*(MONTH('LOG VẮNG'!$C$2:$C$1000)=3)*ISNUMBER(SEARCH($A92,'LOG VẮNG'!$D$2:$D$1000))))</f>
        <v/>
      </c>
      <c r="F92" s="40">
        <f>IF($B92="","",SUMPRODUCT(('LOG VẮNG'!$C$2:$C$1000&lt;&gt;"")*(YEAR('LOG VẮNG'!$C$2:$C$1000)=2026)*(MONTH('LOG VẮNG'!$C$2:$C$1000)=4)*ISNUMBER(SEARCH($A92,'LOG VẮNG'!$D$2:$D$1000))))</f>
        <v/>
      </c>
      <c r="G92" s="40">
        <f>IF($B92="","",SUMPRODUCT(('LOG VẮNG'!$C$2:$C$1000&lt;&gt;"")*(YEAR('LOG VẮNG'!$C$2:$C$1000)=2026)*(MONTH('LOG VẮNG'!$C$2:$C$1000)=5)*ISNUMBER(SEARCH($A92,'LOG VẮNG'!$D$2:$D$1000))))</f>
        <v/>
      </c>
      <c r="H92" s="40">
        <f>IF($B92="","",SUMPRODUCT(('LOG VẮNG'!$C$2:$C$1000&lt;&gt;"")*(YEAR('LOG VẮNG'!$C$2:$C$1000)=2026)*(MONTH('LOG VẮNG'!$C$2:$C$1000)=6)*ISNUMBER(SEARCH($A92,'LOG VẮNG'!$D$2:$D$1000))))</f>
        <v/>
      </c>
      <c r="I92" s="40">
        <f>IF($B92="","",SUMPRODUCT(('LOG VẮNG'!$C$2:$C$1000&lt;&gt;"")*(YEAR('LOG VẮNG'!$C$2:$C$1000)=2026)*(MONTH('LOG VẮNG'!$C$2:$C$1000)=7)*ISNUMBER(SEARCH($A92,'LOG VẮNG'!$D$2:$D$1000))))</f>
        <v/>
      </c>
      <c r="J92" s="40">
        <f>IF($B92="","",SUMPRODUCT(('LOG VẮNG'!$C$2:$C$1000&lt;&gt;"")*(YEAR('LOG VẮNG'!$C$2:$C$1000)=2026)*(MONTH('LOG VẮNG'!$C$2:$C$1000)=8)*ISNUMBER(SEARCH($A92,'LOG VẮNG'!$D$2:$D$1000))))</f>
        <v/>
      </c>
      <c r="K92" s="40">
        <f>IF($B92="","",SUMPRODUCT(('LOG VẮNG'!$C$2:$C$1000&lt;&gt;"")*(YEAR('LOG VẮNG'!$C$2:$C$1000)=2026)*(MONTH('LOG VẮNG'!$C$2:$C$1000)=9)*ISNUMBER(SEARCH($A92,'LOG VẮNG'!$D$2:$D$1000))))</f>
        <v/>
      </c>
      <c r="L92" s="40">
        <f>IF($B92="","",SUMPRODUCT(('LOG VẮNG'!$C$2:$C$1000&lt;&gt;"")*(YEAR('LOG VẮNG'!$C$2:$C$1000)=2026)*(MONTH('LOG VẮNG'!$C$2:$C$1000)=10)*ISNUMBER(SEARCH($A92,'LOG VẮNG'!$D$2:$D$1000))))</f>
        <v/>
      </c>
      <c r="M92" s="40">
        <f>IF($B92="","",SUMPRODUCT(('LOG VẮNG'!$C$2:$C$1000&lt;&gt;"")*(YEAR('LOG VẮNG'!$C$2:$C$1000)=2026)*(MONTH('LOG VẮNG'!$C$2:$C$1000)=11)*ISNUMBER(SEARCH($A92,'LOG VẮNG'!$D$2:$D$1000))))</f>
        <v/>
      </c>
      <c r="N92" s="40">
        <f>IF($B92="","",SUMPRODUCT(('LOG VẮNG'!$C$2:$C$1000&lt;&gt;"")*(YEAR('LOG VẮNG'!$C$2:$C$1000)=2026)*(MONTH('LOG VẮNG'!$C$2:$C$1000)=12)*ISNUMBER(SEARCH($A92,'LOG VẮNG'!$D$2:$D$1000))))</f>
        <v/>
      </c>
      <c r="O92" s="40">
        <f>IF($B92="","",SUM(C92:N92))</f>
        <v/>
      </c>
    </row>
    <row r="93">
      <c r="A93" s="40" t="inlineStr">
        <is>
          <t>ORI091</t>
        </is>
      </c>
      <c r="B93" s="46">
        <f>IFERROR(INDEX('HỌC VIÊN'!$B$4:$B$203,MATCH($A93,'HỌC VIÊN'!$A$4:$A$203,0)),"")</f>
        <v/>
      </c>
      <c r="C93" s="40">
        <f>IF($B93="","",SUMPRODUCT(('LOG VẮNG'!$C$2:$C$1000&lt;&gt;"")*(YEAR('LOG VẮNG'!$C$2:$C$1000)=2026)*(MONTH('LOG VẮNG'!$C$2:$C$1000)=1)*ISNUMBER(SEARCH($A93,'LOG VẮNG'!$D$2:$D$1000))))</f>
        <v/>
      </c>
      <c r="D93" s="40">
        <f>IF($B93="","",SUMPRODUCT(('LOG VẮNG'!$C$2:$C$1000&lt;&gt;"")*(YEAR('LOG VẮNG'!$C$2:$C$1000)=2026)*(MONTH('LOG VẮNG'!$C$2:$C$1000)=2)*ISNUMBER(SEARCH($A93,'LOG VẮNG'!$D$2:$D$1000))))</f>
        <v/>
      </c>
      <c r="E93" s="40">
        <f>IF($B93="","",SUMPRODUCT(('LOG VẮNG'!$C$2:$C$1000&lt;&gt;"")*(YEAR('LOG VẮNG'!$C$2:$C$1000)=2026)*(MONTH('LOG VẮNG'!$C$2:$C$1000)=3)*ISNUMBER(SEARCH($A93,'LOG VẮNG'!$D$2:$D$1000))))</f>
        <v/>
      </c>
      <c r="F93" s="40">
        <f>IF($B93="","",SUMPRODUCT(('LOG VẮNG'!$C$2:$C$1000&lt;&gt;"")*(YEAR('LOG VẮNG'!$C$2:$C$1000)=2026)*(MONTH('LOG VẮNG'!$C$2:$C$1000)=4)*ISNUMBER(SEARCH($A93,'LOG VẮNG'!$D$2:$D$1000))))</f>
        <v/>
      </c>
      <c r="G93" s="40">
        <f>IF($B93="","",SUMPRODUCT(('LOG VẮNG'!$C$2:$C$1000&lt;&gt;"")*(YEAR('LOG VẮNG'!$C$2:$C$1000)=2026)*(MONTH('LOG VẮNG'!$C$2:$C$1000)=5)*ISNUMBER(SEARCH($A93,'LOG VẮNG'!$D$2:$D$1000))))</f>
        <v/>
      </c>
      <c r="H93" s="40">
        <f>IF($B93="","",SUMPRODUCT(('LOG VẮNG'!$C$2:$C$1000&lt;&gt;"")*(YEAR('LOG VẮNG'!$C$2:$C$1000)=2026)*(MONTH('LOG VẮNG'!$C$2:$C$1000)=6)*ISNUMBER(SEARCH($A93,'LOG VẮNG'!$D$2:$D$1000))))</f>
        <v/>
      </c>
      <c r="I93" s="40">
        <f>IF($B93="","",SUMPRODUCT(('LOG VẮNG'!$C$2:$C$1000&lt;&gt;"")*(YEAR('LOG VẮNG'!$C$2:$C$1000)=2026)*(MONTH('LOG VẮNG'!$C$2:$C$1000)=7)*ISNUMBER(SEARCH($A93,'LOG VẮNG'!$D$2:$D$1000))))</f>
        <v/>
      </c>
      <c r="J93" s="40">
        <f>IF($B93="","",SUMPRODUCT(('LOG VẮNG'!$C$2:$C$1000&lt;&gt;"")*(YEAR('LOG VẮNG'!$C$2:$C$1000)=2026)*(MONTH('LOG VẮNG'!$C$2:$C$1000)=8)*ISNUMBER(SEARCH($A93,'LOG VẮNG'!$D$2:$D$1000))))</f>
        <v/>
      </c>
      <c r="K93" s="40">
        <f>IF($B93="","",SUMPRODUCT(('LOG VẮNG'!$C$2:$C$1000&lt;&gt;"")*(YEAR('LOG VẮNG'!$C$2:$C$1000)=2026)*(MONTH('LOG VẮNG'!$C$2:$C$1000)=9)*ISNUMBER(SEARCH($A93,'LOG VẮNG'!$D$2:$D$1000))))</f>
        <v/>
      </c>
      <c r="L93" s="40">
        <f>IF($B93="","",SUMPRODUCT(('LOG VẮNG'!$C$2:$C$1000&lt;&gt;"")*(YEAR('LOG VẮNG'!$C$2:$C$1000)=2026)*(MONTH('LOG VẮNG'!$C$2:$C$1000)=10)*ISNUMBER(SEARCH($A93,'LOG VẮNG'!$D$2:$D$1000))))</f>
        <v/>
      </c>
      <c r="M93" s="40">
        <f>IF($B93="","",SUMPRODUCT(('LOG VẮNG'!$C$2:$C$1000&lt;&gt;"")*(YEAR('LOG VẮNG'!$C$2:$C$1000)=2026)*(MONTH('LOG VẮNG'!$C$2:$C$1000)=11)*ISNUMBER(SEARCH($A93,'LOG VẮNG'!$D$2:$D$1000))))</f>
        <v/>
      </c>
      <c r="N93" s="40">
        <f>IF($B93="","",SUMPRODUCT(('LOG VẮNG'!$C$2:$C$1000&lt;&gt;"")*(YEAR('LOG VẮNG'!$C$2:$C$1000)=2026)*(MONTH('LOG VẮNG'!$C$2:$C$1000)=12)*ISNUMBER(SEARCH($A93,'LOG VẮNG'!$D$2:$D$1000))))</f>
        <v/>
      </c>
      <c r="O93" s="40">
        <f>IF($B93="","",SUM(C93:N93))</f>
        <v/>
      </c>
    </row>
    <row r="94">
      <c r="A94" s="40" t="inlineStr">
        <is>
          <t>ORI092</t>
        </is>
      </c>
      <c r="B94" s="46">
        <f>IFERROR(INDEX('HỌC VIÊN'!$B$4:$B$203,MATCH($A94,'HỌC VIÊN'!$A$4:$A$203,0)),"")</f>
        <v/>
      </c>
      <c r="C94" s="40">
        <f>IF($B94="","",SUMPRODUCT(('LOG VẮNG'!$C$2:$C$1000&lt;&gt;"")*(YEAR('LOG VẮNG'!$C$2:$C$1000)=2026)*(MONTH('LOG VẮNG'!$C$2:$C$1000)=1)*ISNUMBER(SEARCH($A94,'LOG VẮNG'!$D$2:$D$1000))))</f>
        <v/>
      </c>
      <c r="D94" s="40">
        <f>IF($B94="","",SUMPRODUCT(('LOG VẮNG'!$C$2:$C$1000&lt;&gt;"")*(YEAR('LOG VẮNG'!$C$2:$C$1000)=2026)*(MONTH('LOG VẮNG'!$C$2:$C$1000)=2)*ISNUMBER(SEARCH($A94,'LOG VẮNG'!$D$2:$D$1000))))</f>
        <v/>
      </c>
      <c r="E94" s="40">
        <f>IF($B94="","",SUMPRODUCT(('LOG VẮNG'!$C$2:$C$1000&lt;&gt;"")*(YEAR('LOG VẮNG'!$C$2:$C$1000)=2026)*(MONTH('LOG VẮNG'!$C$2:$C$1000)=3)*ISNUMBER(SEARCH($A94,'LOG VẮNG'!$D$2:$D$1000))))</f>
        <v/>
      </c>
      <c r="F94" s="40">
        <f>IF($B94="","",SUMPRODUCT(('LOG VẮNG'!$C$2:$C$1000&lt;&gt;"")*(YEAR('LOG VẮNG'!$C$2:$C$1000)=2026)*(MONTH('LOG VẮNG'!$C$2:$C$1000)=4)*ISNUMBER(SEARCH($A94,'LOG VẮNG'!$D$2:$D$1000))))</f>
        <v/>
      </c>
      <c r="G94" s="40">
        <f>IF($B94="","",SUMPRODUCT(('LOG VẮNG'!$C$2:$C$1000&lt;&gt;"")*(YEAR('LOG VẮNG'!$C$2:$C$1000)=2026)*(MONTH('LOG VẮNG'!$C$2:$C$1000)=5)*ISNUMBER(SEARCH($A94,'LOG VẮNG'!$D$2:$D$1000))))</f>
        <v/>
      </c>
      <c r="H94" s="40">
        <f>IF($B94="","",SUMPRODUCT(('LOG VẮNG'!$C$2:$C$1000&lt;&gt;"")*(YEAR('LOG VẮNG'!$C$2:$C$1000)=2026)*(MONTH('LOG VẮNG'!$C$2:$C$1000)=6)*ISNUMBER(SEARCH($A94,'LOG VẮNG'!$D$2:$D$1000))))</f>
        <v/>
      </c>
      <c r="I94" s="40">
        <f>IF($B94="","",SUMPRODUCT(('LOG VẮNG'!$C$2:$C$1000&lt;&gt;"")*(YEAR('LOG VẮNG'!$C$2:$C$1000)=2026)*(MONTH('LOG VẮNG'!$C$2:$C$1000)=7)*ISNUMBER(SEARCH($A94,'LOG VẮNG'!$D$2:$D$1000))))</f>
        <v/>
      </c>
      <c r="J94" s="40">
        <f>IF($B94="","",SUMPRODUCT(('LOG VẮNG'!$C$2:$C$1000&lt;&gt;"")*(YEAR('LOG VẮNG'!$C$2:$C$1000)=2026)*(MONTH('LOG VẮNG'!$C$2:$C$1000)=8)*ISNUMBER(SEARCH($A94,'LOG VẮNG'!$D$2:$D$1000))))</f>
        <v/>
      </c>
      <c r="K94" s="40">
        <f>IF($B94="","",SUMPRODUCT(('LOG VẮNG'!$C$2:$C$1000&lt;&gt;"")*(YEAR('LOG VẮNG'!$C$2:$C$1000)=2026)*(MONTH('LOG VẮNG'!$C$2:$C$1000)=9)*ISNUMBER(SEARCH($A94,'LOG VẮNG'!$D$2:$D$1000))))</f>
        <v/>
      </c>
      <c r="L94" s="40">
        <f>IF($B94="","",SUMPRODUCT(('LOG VẮNG'!$C$2:$C$1000&lt;&gt;"")*(YEAR('LOG VẮNG'!$C$2:$C$1000)=2026)*(MONTH('LOG VẮNG'!$C$2:$C$1000)=10)*ISNUMBER(SEARCH($A94,'LOG VẮNG'!$D$2:$D$1000))))</f>
        <v/>
      </c>
      <c r="M94" s="40">
        <f>IF($B94="","",SUMPRODUCT(('LOG VẮNG'!$C$2:$C$1000&lt;&gt;"")*(YEAR('LOG VẮNG'!$C$2:$C$1000)=2026)*(MONTH('LOG VẮNG'!$C$2:$C$1000)=11)*ISNUMBER(SEARCH($A94,'LOG VẮNG'!$D$2:$D$1000))))</f>
        <v/>
      </c>
      <c r="N94" s="40">
        <f>IF($B94="","",SUMPRODUCT(('LOG VẮNG'!$C$2:$C$1000&lt;&gt;"")*(YEAR('LOG VẮNG'!$C$2:$C$1000)=2026)*(MONTH('LOG VẮNG'!$C$2:$C$1000)=12)*ISNUMBER(SEARCH($A94,'LOG VẮNG'!$D$2:$D$1000))))</f>
        <v/>
      </c>
      <c r="O94" s="40">
        <f>IF($B94="","",SUM(C94:N94))</f>
        <v/>
      </c>
    </row>
    <row r="95">
      <c r="A95" s="40" t="inlineStr">
        <is>
          <t>ORI093</t>
        </is>
      </c>
      <c r="B95" s="46">
        <f>IFERROR(INDEX('HỌC VIÊN'!$B$4:$B$203,MATCH($A95,'HỌC VIÊN'!$A$4:$A$203,0)),"")</f>
        <v/>
      </c>
      <c r="C95" s="40">
        <f>IF($B95="","",SUMPRODUCT(('LOG VẮNG'!$C$2:$C$1000&lt;&gt;"")*(YEAR('LOG VẮNG'!$C$2:$C$1000)=2026)*(MONTH('LOG VẮNG'!$C$2:$C$1000)=1)*ISNUMBER(SEARCH($A95,'LOG VẮNG'!$D$2:$D$1000))))</f>
        <v/>
      </c>
      <c r="D95" s="40">
        <f>IF($B95="","",SUMPRODUCT(('LOG VẮNG'!$C$2:$C$1000&lt;&gt;"")*(YEAR('LOG VẮNG'!$C$2:$C$1000)=2026)*(MONTH('LOG VẮNG'!$C$2:$C$1000)=2)*ISNUMBER(SEARCH($A95,'LOG VẮNG'!$D$2:$D$1000))))</f>
        <v/>
      </c>
      <c r="E95" s="40">
        <f>IF($B95="","",SUMPRODUCT(('LOG VẮNG'!$C$2:$C$1000&lt;&gt;"")*(YEAR('LOG VẮNG'!$C$2:$C$1000)=2026)*(MONTH('LOG VẮNG'!$C$2:$C$1000)=3)*ISNUMBER(SEARCH($A95,'LOG VẮNG'!$D$2:$D$1000))))</f>
        <v/>
      </c>
      <c r="F95" s="40">
        <f>IF($B95="","",SUMPRODUCT(('LOG VẮNG'!$C$2:$C$1000&lt;&gt;"")*(YEAR('LOG VẮNG'!$C$2:$C$1000)=2026)*(MONTH('LOG VẮNG'!$C$2:$C$1000)=4)*ISNUMBER(SEARCH($A95,'LOG VẮNG'!$D$2:$D$1000))))</f>
        <v/>
      </c>
      <c r="G95" s="40">
        <f>IF($B95="","",SUMPRODUCT(('LOG VẮNG'!$C$2:$C$1000&lt;&gt;"")*(YEAR('LOG VẮNG'!$C$2:$C$1000)=2026)*(MONTH('LOG VẮNG'!$C$2:$C$1000)=5)*ISNUMBER(SEARCH($A95,'LOG VẮNG'!$D$2:$D$1000))))</f>
        <v/>
      </c>
      <c r="H95" s="40">
        <f>IF($B95="","",SUMPRODUCT(('LOG VẮNG'!$C$2:$C$1000&lt;&gt;"")*(YEAR('LOG VẮNG'!$C$2:$C$1000)=2026)*(MONTH('LOG VẮNG'!$C$2:$C$1000)=6)*ISNUMBER(SEARCH($A95,'LOG VẮNG'!$D$2:$D$1000))))</f>
        <v/>
      </c>
      <c r="I95" s="40">
        <f>IF($B95="","",SUMPRODUCT(('LOG VẮNG'!$C$2:$C$1000&lt;&gt;"")*(YEAR('LOG VẮNG'!$C$2:$C$1000)=2026)*(MONTH('LOG VẮNG'!$C$2:$C$1000)=7)*ISNUMBER(SEARCH($A95,'LOG VẮNG'!$D$2:$D$1000))))</f>
        <v/>
      </c>
      <c r="J95" s="40">
        <f>IF($B95="","",SUMPRODUCT(('LOG VẮNG'!$C$2:$C$1000&lt;&gt;"")*(YEAR('LOG VẮNG'!$C$2:$C$1000)=2026)*(MONTH('LOG VẮNG'!$C$2:$C$1000)=8)*ISNUMBER(SEARCH($A95,'LOG VẮNG'!$D$2:$D$1000))))</f>
        <v/>
      </c>
      <c r="K95" s="40">
        <f>IF($B95="","",SUMPRODUCT(('LOG VẮNG'!$C$2:$C$1000&lt;&gt;"")*(YEAR('LOG VẮNG'!$C$2:$C$1000)=2026)*(MONTH('LOG VẮNG'!$C$2:$C$1000)=9)*ISNUMBER(SEARCH($A95,'LOG VẮNG'!$D$2:$D$1000))))</f>
        <v/>
      </c>
      <c r="L95" s="40">
        <f>IF($B95="","",SUMPRODUCT(('LOG VẮNG'!$C$2:$C$1000&lt;&gt;"")*(YEAR('LOG VẮNG'!$C$2:$C$1000)=2026)*(MONTH('LOG VẮNG'!$C$2:$C$1000)=10)*ISNUMBER(SEARCH($A95,'LOG VẮNG'!$D$2:$D$1000))))</f>
        <v/>
      </c>
      <c r="M95" s="40">
        <f>IF($B95="","",SUMPRODUCT(('LOG VẮNG'!$C$2:$C$1000&lt;&gt;"")*(YEAR('LOG VẮNG'!$C$2:$C$1000)=2026)*(MONTH('LOG VẮNG'!$C$2:$C$1000)=11)*ISNUMBER(SEARCH($A95,'LOG VẮNG'!$D$2:$D$1000))))</f>
        <v/>
      </c>
      <c r="N95" s="40">
        <f>IF($B95="","",SUMPRODUCT(('LOG VẮNG'!$C$2:$C$1000&lt;&gt;"")*(YEAR('LOG VẮNG'!$C$2:$C$1000)=2026)*(MONTH('LOG VẮNG'!$C$2:$C$1000)=12)*ISNUMBER(SEARCH($A95,'LOG VẮNG'!$D$2:$D$1000))))</f>
        <v/>
      </c>
      <c r="O95" s="40">
        <f>IF($B95="","",SUM(C95:N95))</f>
        <v/>
      </c>
    </row>
    <row r="96">
      <c r="A96" s="40" t="inlineStr">
        <is>
          <t>ORI094</t>
        </is>
      </c>
      <c r="B96" s="46">
        <f>IFERROR(INDEX('HỌC VIÊN'!$B$4:$B$203,MATCH($A96,'HỌC VIÊN'!$A$4:$A$203,0)),"")</f>
        <v/>
      </c>
      <c r="C96" s="40">
        <f>IF($B96="","",SUMPRODUCT(('LOG VẮNG'!$C$2:$C$1000&lt;&gt;"")*(YEAR('LOG VẮNG'!$C$2:$C$1000)=2026)*(MONTH('LOG VẮNG'!$C$2:$C$1000)=1)*ISNUMBER(SEARCH($A96,'LOG VẮNG'!$D$2:$D$1000))))</f>
        <v/>
      </c>
      <c r="D96" s="40">
        <f>IF($B96="","",SUMPRODUCT(('LOG VẮNG'!$C$2:$C$1000&lt;&gt;"")*(YEAR('LOG VẮNG'!$C$2:$C$1000)=2026)*(MONTH('LOG VẮNG'!$C$2:$C$1000)=2)*ISNUMBER(SEARCH($A96,'LOG VẮNG'!$D$2:$D$1000))))</f>
        <v/>
      </c>
      <c r="E96" s="40">
        <f>IF($B96="","",SUMPRODUCT(('LOG VẮNG'!$C$2:$C$1000&lt;&gt;"")*(YEAR('LOG VẮNG'!$C$2:$C$1000)=2026)*(MONTH('LOG VẮNG'!$C$2:$C$1000)=3)*ISNUMBER(SEARCH($A96,'LOG VẮNG'!$D$2:$D$1000))))</f>
        <v/>
      </c>
      <c r="F96" s="40">
        <f>IF($B96="","",SUMPRODUCT(('LOG VẮNG'!$C$2:$C$1000&lt;&gt;"")*(YEAR('LOG VẮNG'!$C$2:$C$1000)=2026)*(MONTH('LOG VẮNG'!$C$2:$C$1000)=4)*ISNUMBER(SEARCH($A96,'LOG VẮNG'!$D$2:$D$1000))))</f>
        <v/>
      </c>
      <c r="G96" s="40">
        <f>IF($B96="","",SUMPRODUCT(('LOG VẮNG'!$C$2:$C$1000&lt;&gt;"")*(YEAR('LOG VẮNG'!$C$2:$C$1000)=2026)*(MONTH('LOG VẮNG'!$C$2:$C$1000)=5)*ISNUMBER(SEARCH($A96,'LOG VẮNG'!$D$2:$D$1000))))</f>
        <v/>
      </c>
      <c r="H96" s="40">
        <f>IF($B96="","",SUMPRODUCT(('LOG VẮNG'!$C$2:$C$1000&lt;&gt;"")*(YEAR('LOG VẮNG'!$C$2:$C$1000)=2026)*(MONTH('LOG VẮNG'!$C$2:$C$1000)=6)*ISNUMBER(SEARCH($A96,'LOG VẮNG'!$D$2:$D$1000))))</f>
        <v/>
      </c>
      <c r="I96" s="40">
        <f>IF($B96="","",SUMPRODUCT(('LOG VẮNG'!$C$2:$C$1000&lt;&gt;"")*(YEAR('LOG VẮNG'!$C$2:$C$1000)=2026)*(MONTH('LOG VẮNG'!$C$2:$C$1000)=7)*ISNUMBER(SEARCH($A96,'LOG VẮNG'!$D$2:$D$1000))))</f>
        <v/>
      </c>
      <c r="J96" s="40">
        <f>IF($B96="","",SUMPRODUCT(('LOG VẮNG'!$C$2:$C$1000&lt;&gt;"")*(YEAR('LOG VẮNG'!$C$2:$C$1000)=2026)*(MONTH('LOG VẮNG'!$C$2:$C$1000)=8)*ISNUMBER(SEARCH($A96,'LOG VẮNG'!$D$2:$D$1000))))</f>
        <v/>
      </c>
      <c r="K96" s="40">
        <f>IF($B96="","",SUMPRODUCT(('LOG VẮNG'!$C$2:$C$1000&lt;&gt;"")*(YEAR('LOG VẮNG'!$C$2:$C$1000)=2026)*(MONTH('LOG VẮNG'!$C$2:$C$1000)=9)*ISNUMBER(SEARCH($A96,'LOG VẮNG'!$D$2:$D$1000))))</f>
        <v/>
      </c>
      <c r="L96" s="40">
        <f>IF($B96="","",SUMPRODUCT(('LOG VẮNG'!$C$2:$C$1000&lt;&gt;"")*(YEAR('LOG VẮNG'!$C$2:$C$1000)=2026)*(MONTH('LOG VẮNG'!$C$2:$C$1000)=10)*ISNUMBER(SEARCH($A96,'LOG VẮNG'!$D$2:$D$1000))))</f>
        <v/>
      </c>
      <c r="M96" s="40">
        <f>IF($B96="","",SUMPRODUCT(('LOG VẮNG'!$C$2:$C$1000&lt;&gt;"")*(YEAR('LOG VẮNG'!$C$2:$C$1000)=2026)*(MONTH('LOG VẮNG'!$C$2:$C$1000)=11)*ISNUMBER(SEARCH($A96,'LOG VẮNG'!$D$2:$D$1000))))</f>
        <v/>
      </c>
      <c r="N96" s="40">
        <f>IF($B96="","",SUMPRODUCT(('LOG VẮNG'!$C$2:$C$1000&lt;&gt;"")*(YEAR('LOG VẮNG'!$C$2:$C$1000)=2026)*(MONTH('LOG VẮNG'!$C$2:$C$1000)=12)*ISNUMBER(SEARCH($A96,'LOG VẮNG'!$D$2:$D$1000))))</f>
        <v/>
      </c>
      <c r="O96" s="40">
        <f>IF($B96="","",SUM(C96:N96))</f>
        <v/>
      </c>
    </row>
    <row r="97">
      <c r="A97" s="40" t="inlineStr">
        <is>
          <t>ORI095</t>
        </is>
      </c>
      <c r="B97" s="46">
        <f>IFERROR(INDEX('HỌC VIÊN'!$B$4:$B$203,MATCH($A97,'HỌC VIÊN'!$A$4:$A$203,0)),"")</f>
        <v/>
      </c>
      <c r="C97" s="40">
        <f>IF($B97="","",SUMPRODUCT(('LOG VẮNG'!$C$2:$C$1000&lt;&gt;"")*(YEAR('LOG VẮNG'!$C$2:$C$1000)=2026)*(MONTH('LOG VẮNG'!$C$2:$C$1000)=1)*ISNUMBER(SEARCH($A97,'LOG VẮNG'!$D$2:$D$1000))))</f>
        <v/>
      </c>
      <c r="D97" s="40">
        <f>IF($B97="","",SUMPRODUCT(('LOG VẮNG'!$C$2:$C$1000&lt;&gt;"")*(YEAR('LOG VẮNG'!$C$2:$C$1000)=2026)*(MONTH('LOG VẮNG'!$C$2:$C$1000)=2)*ISNUMBER(SEARCH($A97,'LOG VẮNG'!$D$2:$D$1000))))</f>
        <v/>
      </c>
      <c r="E97" s="40">
        <f>IF($B97="","",SUMPRODUCT(('LOG VẮNG'!$C$2:$C$1000&lt;&gt;"")*(YEAR('LOG VẮNG'!$C$2:$C$1000)=2026)*(MONTH('LOG VẮNG'!$C$2:$C$1000)=3)*ISNUMBER(SEARCH($A97,'LOG VẮNG'!$D$2:$D$1000))))</f>
        <v/>
      </c>
      <c r="F97" s="40">
        <f>IF($B97="","",SUMPRODUCT(('LOG VẮNG'!$C$2:$C$1000&lt;&gt;"")*(YEAR('LOG VẮNG'!$C$2:$C$1000)=2026)*(MONTH('LOG VẮNG'!$C$2:$C$1000)=4)*ISNUMBER(SEARCH($A97,'LOG VẮNG'!$D$2:$D$1000))))</f>
        <v/>
      </c>
      <c r="G97" s="40">
        <f>IF($B97="","",SUMPRODUCT(('LOG VẮNG'!$C$2:$C$1000&lt;&gt;"")*(YEAR('LOG VẮNG'!$C$2:$C$1000)=2026)*(MONTH('LOG VẮNG'!$C$2:$C$1000)=5)*ISNUMBER(SEARCH($A97,'LOG VẮNG'!$D$2:$D$1000))))</f>
        <v/>
      </c>
      <c r="H97" s="40">
        <f>IF($B97="","",SUMPRODUCT(('LOG VẮNG'!$C$2:$C$1000&lt;&gt;"")*(YEAR('LOG VẮNG'!$C$2:$C$1000)=2026)*(MONTH('LOG VẮNG'!$C$2:$C$1000)=6)*ISNUMBER(SEARCH($A97,'LOG VẮNG'!$D$2:$D$1000))))</f>
        <v/>
      </c>
      <c r="I97" s="40">
        <f>IF($B97="","",SUMPRODUCT(('LOG VẮNG'!$C$2:$C$1000&lt;&gt;"")*(YEAR('LOG VẮNG'!$C$2:$C$1000)=2026)*(MONTH('LOG VẮNG'!$C$2:$C$1000)=7)*ISNUMBER(SEARCH($A97,'LOG VẮNG'!$D$2:$D$1000))))</f>
        <v/>
      </c>
      <c r="J97" s="40">
        <f>IF($B97="","",SUMPRODUCT(('LOG VẮNG'!$C$2:$C$1000&lt;&gt;"")*(YEAR('LOG VẮNG'!$C$2:$C$1000)=2026)*(MONTH('LOG VẮNG'!$C$2:$C$1000)=8)*ISNUMBER(SEARCH($A97,'LOG VẮNG'!$D$2:$D$1000))))</f>
        <v/>
      </c>
      <c r="K97" s="40">
        <f>IF($B97="","",SUMPRODUCT(('LOG VẮNG'!$C$2:$C$1000&lt;&gt;"")*(YEAR('LOG VẮNG'!$C$2:$C$1000)=2026)*(MONTH('LOG VẮNG'!$C$2:$C$1000)=9)*ISNUMBER(SEARCH($A97,'LOG VẮNG'!$D$2:$D$1000))))</f>
        <v/>
      </c>
      <c r="L97" s="40">
        <f>IF($B97="","",SUMPRODUCT(('LOG VẮNG'!$C$2:$C$1000&lt;&gt;"")*(YEAR('LOG VẮNG'!$C$2:$C$1000)=2026)*(MONTH('LOG VẮNG'!$C$2:$C$1000)=10)*ISNUMBER(SEARCH($A97,'LOG VẮNG'!$D$2:$D$1000))))</f>
        <v/>
      </c>
      <c r="M97" s="40">
        <f>IF($B97="","",SUMPRODUCT(('LOG VẮNG'!$C$2:$C$1000&lt;&gt;"")*(YEAR('LOG VẮNG'!$C$2:$C$1000)=2026)*(MONTH('LOG VẮNG'!$C$2:$C$1000)=11)*ISNUMBER(SEARCH($A97,'LOG VẮNG'!$D$2:$D$1000))))</f>
        <v/>
      </c>
      <c r="N97" s="40">
        <f>IF($B97="","",SUMPRODUCT(('LOG VẮNG'!$C$2:$C$1000&lt;&gt;"")*(YEAR('LOG VẮNG'!$C$2:$C$1000)=2026)*(MONTH('LOG VẮNG'!$C$2:$C$1000)=12)*ISNUMBER(SEARCH($A97,'LOG VẮNG'!$D$2:$D$1000))))</f>
        <v/>
      </c>
      <c r="O97" s="40">
        <f>IF($B97="","",SUM(C97:N97))</f>
        <v/>
      </c>
    </row>
    <row r="98">
      <c r="A98" s="40" t="inlineStr">
        <is>
          <t>ORI096</t>
        </is>
      </c>
      <c r="B98" s="46">
        <f>IFERROR(INDEX('HỌC VIÊN'!$B$4:$B$203,MATCH($A98,'HỌC VIÊN'!$A$4:$A$203,0)),"")</f>
        <v/>
      </c>
      <c r="C98" s="40">
        <f>IF($B98="","",SUMPRODUCT(('LOG VẮNG'!$C$2:$C$1000&lt;&gt;"")*(YEAR('LOG VẮNG'!$C$2:$C$1000)=2026)*(MONTH('LOG VẮNG'!$C$2:$C$1000)=1)*ISNUMBER(SEARCH($A98,'LOG VẮNG'!$D$2:$D$1000))))</f>
        <v/>
      </c>
      <c r="D98" s="40">
        <f>IF($B98="","",SUMPRODUCT(('LOG VẮNG'!$C$2:$C$1000&lt;&gt;"")*(YEAR('LOG VẮNG'!$C$2:$C$1000)=2026)*(MONTH('LOG VẮNG'!$C$2:$C$1000)=2)*ISNUMBER(SEARCH($A98,'LOG VẮNG'!$D$2:$D$1000))))</f>
        <v/>
      </c>
      <c r="E98" s="40">
        <f>IF($B98="","",SUMPRODUCT(('LOG VẮNG'!$C$2:$C$1000&lt;&gt;"")*(YEAR('LOG VẮNG'!$C$2:$C$1000)=2026)*(MONTH('LOG VẮNG'!$C$2:$C$1000)=3)*ISNUMBER(SEARCH($A98,'LOG VẮNG'!$D$2:$D$1000))))</f>
        <v/>
      </c>
      <c r="F98" s="40">
        <f>IF($B98="","",SUMPRODUCT(('LOG VẮNG'!$C$2:$C$1000&lt;&gt;"")*(YEAR('LOG VẮNG'!$C$2:$C$1000)=2026)*(MONTH('LOG VẮNG'!$C$2:$C$1000)=4)*ISNUMBER(SEARCH($A98,'LOG VẮNG'!$D$2:$D$1000))))</f>
        <v/>
      </c>
      <c r="G98" s="40">
        <f>IF($B98="","",SUMPRODUCT(('LOG VẮNG'!$C$2:$C$1000&lt;&gt;"")*(YEAR('LOG VẮNG'!$C$2:$C$1000)=2026)*(MONTH('LOG VẮNG'!$C$2:$C$1000)=5)*ISNUMBER(SEARCH($A98,'LOG VẮNG'!$D$2:$D$1000))))</f>
        <v/>
      </c>
      <c r="H98" s="40">
        <f>IF($B98="","",SUMPRODUCT(('LOG VẮNG'!$C$2:$C$1000&lt;&gt;"")*(YEAR('LOG VẮNG'!$C$2:$C$1000)=2026)*(MONTH('LOG VẮNG'!$C$2:$C$1000)=6)*ISNUMBER(SEARCH($A98,'LOG VẮNG'!$D$2:$D$1000))))</f>
        <v/>
      </c>
      <c r="I98" s="40">
        <f>IF($B98="","",SUMPRODUCT(('LOG VẮNG'!$C$2:$C$1000&lt;&gt;"")*(YEAR('LOG VẮNG'!$C$2:$C$1000)=2026)*(MONTH('LOG VẮNG'!$C$2:$C$1000)=7)*ISNUMBER(SEARCH($A98,'LOG VẮNG'!$D$2:$D$1000))))</f>
        <v/>
      </c>
      <c r="J98" s="40">
        <f>IF($B98="","",SUMPRODUCT(('LOG VẮNG'!$C$2:$C$1000&lt;&gt;"")*(YEAR('LOG VẮNG'!$C$2:$C$1000)=2026)*(MONTH('LOG VẮNG'!$C$2:$C$1000)=8)*ISNUMBER(SEARCH($A98,'LOG VẮNG'!$D$2:$D$1000))))</f>
        <v/>
      </c>
      <c r="K98" s="40">
        <f>IF($B98="","",SUMPRODUCT(('LOG VẮNG'!$C$2:$C$1000&lt;&gt;"")*(YEAR('LOG VẮNG'!$C$2:$C$1000)=2026)*(MONTH('LOG VẮNG'!$C$2:$C$1000)=9)*ISNUMBER(SEARCH($A98,'LOG VẮNG'!$D$2:$D$1000))))</f>
        <v/>
      </c>
      <c r="L98" s="40">
        <f>IF($B98="","",SUMPRODUCT(('LOG VẮNG'!$C$2:$C$1000&lt;&gt;"")*(YEAR('LOG VẮNG'!$C$2:$C$1000)=2026)*(MONTH('LOG VẮNG'!$C$2:$C$1000)=10)*ISNUMBER(SEARCH($A98,'LOG VẮNG'!$D$2:$D$1000))))</f>
        <v/>
      </c>
      <c r="M98" s="40">
        <f>IF($B98="","",SUMPRODUCT(('LOG VẮNG'!$C$2:$C$1000&lt;&gt;"")*(YEAR('LOG VẮNG'!$C$2:$C$1000)=2026)*(MONTH('LOG VẮNG'!$C$2:$C$1000)=11)*ISNUMBER(SEARCH($A98,'LOG VẮNG'!$D$2:$D$1000))))</f>
        <v/>
      </c>
      <c r="N98" s="40">
        <f>IF($B98="","",SUMPRODUCT(('LOG VẮNG'!$C$2:$C$1000&lt;&gt;"")*(YEAR('LOG VẮNG'!$C$2:$C$1000)=2026)*(MONTH('LOG VẮNG'!$C$2:$C$1000)=12)*ISNUMBER(SEARCH($A98,'LOG VẮNG'!$D$2:$D$1000))))</f>
        <v/>
      </c>
      <c r="O98" s="40">
        <f>IF($B98="","",SUM(C98:N98))</f>
        <v/>
      </c>
    </row>
    <row r="99">
      <c r="A99" s="40" t="inlineStr">
        <is>
          <t>ORI097</t>
        </is>
      </c>
      <c r="B99" s="46">
        <f>IFERROR(INDEX('HỌC VIÊN'!$B$4:$B$203,MATCH($A99,'HỌC VIÊN'!$A$4:$A$203,0)),"")</f>
        <v/>
      </c>
      <c r="C99" s="40">
        <f>IF($B99="","",SUMPRODUCT(('LOG VẮNG'!$C$2:$C$1000&lt;&gt;"")*(YEAR('LOG VẮNG'!$C$2:$C$1000)=2026)*(MONTH('LOG VẮNG'!$C$2:$C$1000)=1)*ISNUMBER(SEARCH($A99,'LOG VẮNG'!$D$2:$D$1000))))</f>
        <v/>
      </c>
      <c r="D99" s="40">
        <f>IF($B99="","",SUMPRODUCT(('LOG VẮNG'!$C$2:$C$1000&lt;&gt;"")*(YEAR('LOG VẮNG'!$C$2:$C$1000)=2026)*(MONTH('LOG VẮNG'!$C$2:$C$1000)=2)*ISNUMBER(SEARCH($A99,'LOG VẮNG'!$D$2:$D$1000))))</f>
        <v/>
      </c>
      <c r="E99" s="40">
        <f>IF($B99="","",SUMPRODUCT(('LOG VẮNG'!$C$2:$C$1000&lt;&gt;"")*(YEAR('LOG VẮNG'!$C$2:$C$1000)=2026)*(MONTH('LOG VẮNG'!$C$2:$C$1000)=3)*ISNUMBER(SEARCH($A99,'LOG VẮNG'!$D$2:$D$1000))))</f>
        <v/>
      </c>
      <c r="F99" s="40">
        <f>IF($B99="","",SUMPRODUCT(('LOG VẮNG'!$C$2:$C$1000&lt;&gt;"")*(YEAR('LOG VẮNG'!$C$2:$C$1000)=2026)*(MONTH('LOG VẮNG'!$C$2:$C$1000)=4)*ISNUMBER(SEARCH($A99,'LOG VẮNG'!$D$2:$D$1000))))</f>
        <v/>
      </c>
      <c r="G99" s="40">
        <f>IF($B99="","",SUMPRODUCT(('LOG VẮNG'!$C$2:$C$1000&lt;&gt;"")*(YEAR('LOG VẮNG'!$C$2:$C$1000)=2026)*(MONTH('LOG VẮNG'!$C$2:$C$1000)=5)*ISNUMBER(SEARCH($A99,'LOG VẮNG'!$D$2:$D$1000))))</f>
        <v/>
      </c>
      <c r="H99" s="40">
        <f>IF($B99="","",SUMPRODUCT(('LOG VẮNG'!$C$2:$C$1000&lt;&gt;"")*(YEAR('LOG VẮNG'!$C$2:$C$1000)=2026)*(MONTH('LOG VẮNG'!$C$2:$C$1000)=6)*ISNUMBER(SEARCH($A99,'LOG VẮNG'!$D$2:$D$1000))))</f>
        <v/>
      </c>
      <c r="I99" s="40">
        <f>IF($B99="","",SUMPRODUCT(('LOG VẮNG'!$C$2:$C$1000&lt;&gt;"")*(YEAR('LOG VẮNG'!$C$2:$C$1000)=2026)*(MONTH('LOG VẮNG'!$C$2:$C$1000)=7)*ISNUMBER(SEARCH($A99,'LOG VẮNG'!$D$2:$D$1000))))</f>
        <v/>
      </c>
      <c r="J99" s="40">
        <f>IF($B99="","",SUMPRODUCT(('LOG VẮNG'!$C$2:$C$1000&lt;&gt;"")*(YEAR('LOG VẮNG'!$C$2:$C$1000)=2026)*(MONTH('LOG VẮNG'!$C$2:$C$1000)=8)*ISNUMBER(SEARCH($A99,'LOG VẮNG'!$D$2:$D$1000))))</f>
        <v/>
      </c>
      <c r="K99" s="40">
        <f>IF($B99="","",SUMPRODUCT(('LOG VẮNG'!$C$2:$C$1000&lt;&gt;"")*(YEAR('LOG VẮNG'!$C$2:$C$1000)=2026)*(MONTH('LOG VẮNG'!$C$2:$C$1000)=9)*ISNUMBER(SEARCH($A99,'LOG VẮNG'!$D$2:$D$1000))))</f>
        <v/>
      </c>
      <c r="L99" s="40">
        <f>IF($B99="","",SUMPRODUCT(('LOG VẮNG'!$C$2:$C$1000&lt;&gt;"")*(YEAR('LOG VẮNG'!$C$2:$C$1000)=2026)*(MONTH('LOG VẮNG'!$C$2:$C$1000)=10)*ISNUMBER(SEARCH($A99,'LOG VẮNG'!$D$2:$D$1000))))</f>
        <v/>
      </c>
      <c r="M99" s="40">
        <f>IF($B99="","",SUMPRODUCT(('LOG VẮNG'!$C$2:$C$1000&lt;&gt;"")*(YEAR('LOG VẮNG'!$C$2:$C$1000)=2026)*(MONTH('LOG VẮNG'!$C$2:$C$1000)=11)*ISNUMBER(SEARCH($A99,'LOG VẮNG'!$D$2:$D$1000))))</f>
        <v/>
      </c>
      <c r="N99" s="40">
        <f>IF($B99="","",SUMPRODUCT(('LOG VẮNG'!$C$2:$C$1000&lt;&gt;"")*(YEAR('LOG VẮNG'!$C$2:$C$1000)=2026)*(MONTH('LOG VẮNG'!$C$2:$C$1000)=12)*ISNUMBER(SEARCH($A99,'LOG VẮNG'!$D$2:$D$1000))))</f>
        <v/>
      </c>
      <c r="O99" s="40">
        <f>IF($B99="","",SUM(C99:N99))</f>
        <v/>
      </c>
    </row>
    <row r="100">
      <c r="A100" s="40" t="inlineStr">
        <is>
          <t>ORI098</t>
        </is>
      </c>
      <c r="B100" s="46">
        <f>IFERROR(INDEX('HỌC VIÊN'!$B$4:$B$203,MATCH($A100,'HỌC VIÊN'!$A$4:$A$203,0)),"")</f>
        <v/>
      </c>
      <c r="C100" s="40">
        <f>IF($B100="","",SUMPRODUCT(('LOG VẮNG'!$C$2:$C$1000&lt;&gt;"")*(YEAR('LOG VẮNG'!$C$2:$C$1000)=2026)*(MONTH('LOG VẮNG'!$C$2:$C$1000)=1)*ISNUMBER(SEARCH($A100,'LOG VẮNG'!$D$2:$D$1000))))</f>
        <v/>
      </c>
      <c r="D100" s="40">
        <f>IF($B100="","",SUMPRODUCT(('LOG VẮNG'!$C$2:$C$1000&lt;&gt;"")*(YEAR('LOG VẮNG'!$C$2:$C$1000)=2026)*(MONTH('LOG VẮNG'!$C$2:$C$1000)=2)*ISNUMBER(SEARCH($A100,'LOG VẮNG'!$D$2:$D$1000))))</f>
        <v/>
      </c>
      <c r="E100" s="40">
        <f>IF($B100="","",SUMPRODUCT(('LOG VẮNG'!$C$2:$C$1000&lt;&gt;"")*(YEAR('LOG VẮNG'!$C$2:$C$1000)=2026)*(MONTH('LOG VẮNG'!$C$2:$C$1000)=3)*ISNUMBER(SEARCH($A100,'LOG VẮNG'!$D$2:$D$1000))))</f>
        <v/>
      </c>
      <c r="F100" s="40">
        <f>IF($B100="","",SUMPRODUCT(('LOG VẮNG'!$C$2:$C$1000&lt;&gt;"")*(YEAR('LOG VẮNG'!$C$2:$C$1000)=2026)*(MONTH('LOG VẮNG'!$C$2:$C$1000)=4)*ISNUMBER(SEARCH($A100,'LOG VẮNG'!$D$2:$D$1000))))</f>
        <v/>
      </c>
      <c r="G100" s="40">
        <f>IF($B100="","",SUMPRODUCT(('LOG VẮNG'!$C$2:$C$1000&lt;&gt;"")*(YEAR('LOG VẮNG'!$C$2:$C$1000)=2026)*(MONTH('LOG VẮNG'!$C$2:$C$1000)=5)*ISNUMBER(SEARCH($A100,'LOG VẮNG'!$D$2:$D$1000))))</f>
        <v/>
      </c>
      <c r="H100" s="40">
        <f>IF($B100="","",SUMPRODUCT(('LOG VẮNG'!$C$2:$C$1000&lt;&gt;"")*(YEAR('LOG VẮNG'!$C$2:$C$1000)=2026)*(MONTH('LOG VẮNG'!$C$2:$C$1000)=6)*ISNUMBER(SEARCH($A100,'LOG VẮNG'!$D$2:$D$1000))))</f>
        <v/>
      </c>
      <c r="I100" s="40">
        <f>IF($B100="","",SUMPRODUCT(('LOG VẮNG'!$C$2:$C$1000&lt;&gt;"")*(YEAR('LOG VẮNG'!$C$2:$C$1000)=2026)*(MONTH('LOG VẮNG'!$C$2:$C$1000)=7)*ISNUMBER(SEARCH($A100,'LOG VẮNG'!$D$2:$D$1000))))</f>
        <v/>
      </c>
      <c r="J100" s="40">
        <f>IF($B100="","",SUMPRODUCT(('LOG VẮNG'!$C$2:$C$1000&lt;&gt;"")*(YEAR('LOG VẮNG'!$C$2:$C$1000)=2026)*(MONTH('LOG VẮNG'!$C$2:$C$1000)=8)*ISNUMBER(SEARCH($A100,'LOG VẮNG'!$D$2:$D$1000))))</f>
        <v/>
      </c>
      <c r="K100" s="40">
        <f>IF($B100="","",SUMPRODUCT(('LOG VẮNG'!$C$2:$C$1000&lt;&gt;"")*(YEAR('LOG VẮNG'!$C$2:$C$1000)=2026)*(MONTH('LOG VẮNG'!$C$2:$C$1000)=9)*ISNUMBER(SEARCH($A100,'LOG VẮNG'!$D$2:$D$1000))))</f>
        <v/>
      </c>
      <c r="L100" s="40">
        <f>IF($B100="","",SUMPRODUCT(('LOG VẮNG'!$C$2:$C$1000&lt;&gt;"")*(YEAR('LOG VẮNG'!$C$2:$C$1000)=2026)*(MONTH('LOG VẮNG'!$C$2:$C$1000)=10)*ISNUMBER(SEARCH($A100,'LOG VẮNG'!$D$2:$D$1000))))</f>
        <v/>
      </c>
      <c r="M100" s="40">
        <f>IF($B100="","",SUMPRODUCT(('LOG VẮNG'!$C$2:$C$1000&lt;&gt;"")*(YEAR('LOG VẮNG'!$C$2:$C$1000)=2026)*(MONTH('LOG VẮNG'!$C$2:$C$1000)=11)*ISNUMBER(SEARCH($A100,'LOG VẮNG'!$D$2:$D$1000))))</f>
        <v/>
      </c>
      <c r="N100" s="40">
        <f>IF($B100="","",SUMPRODUCT(('LOG VẮNG'!$C$2:$C$1000&lt;&gt;"")*(YEAR('LOG VẮNG'!$C$2:$C$1000)=2026)*(MONTH('LOG VẮNG'!$C$2:$C$1000)=12)*ISNUMBER(SEARCH($A100,'LOG VẮNG'!$D$2:$D$1000))))</f>
        <v/>
      </c>
      <c r="O100" s="40">
        <f>IF($B100="","",SUM(C100:N100))</f>
        <v/>
      </c>
    </row>
    <row r="101">
      <c r="A101" s="40" t="inlineStr">
        <is>
          <t>ORI099</t>
        </is>
      </c>
      <c r="B101" s="46">
        <f>IFERROR(INDEX('HỌC VIÊN'!$B$4:$B$203,MATCH($A101,'HỌC VIÊN'!$A$4:$A$203,0)),"")</f>
        <v/>
      </c>
      <c r="C101" s="40">
        <f>IF($B101="","",SUMPRODUCT(('LOG VẮNG'!$C$2:$C$1000&lt;&gt;"")*(YEAR('LOG VẮNG'!$C$2:$C$1000)=2026)*(MONTH('LOG VẮNG'!$C$2:$C$1000)=1)*ISNUMBER(SEARCH($A101,'LOG VẮNG'!$D$2:$D$1000))))</f>
        <v/>
      </c>
      <c r="D101" s="40">
        <f>IF($B101="","",SUMPRODUCT(('LOG VẮNG'!$C$2:$C$1000&lt;&gt;"")*(YEAR('LOG VẮNG'!$C$2:$C$1000)=2026)*(MONTH('LOG VẮNG'!$C$2:$C$1000)=2)*ISNUMBER(SEARCH($A101,'LOG VẮNG'!$D$2:$D$1000))))</f>
        <v/>
      </c>
      <c r="E101" s="40">
        <f>IF($B101="","",SUMPRODUCT(('LOG VẮNG'!$C$2:$C$1000&lt;&gt;"")*(YEAR('LOG VẮNG'!$C$2:$C$1000)=2026)*(MONTH('LOG VẮNG'!$C$2:$C$1000)=3)*ISNUMBER(SEARCH($A101,'LOG VẮNG'!$D$2:$D$1000))))</f>
        <v/>
      </c>
      <c r="F101" s="40">
        <f>IF($B101="","",SUMPRODUCT(('LOG VẮNG'!$C$2:$C$1000&lt;&gt;"")*(YEAR('LOG VẮNG'!$C$2:$C$1000)=2026)*(MONTH('LOG VẮNG'!$C$2:$C$1000)=4)*ISNUMBER(SEARCH($A101,'LOG VẮNG'!$D$2:$D$1000))))</f>
        <v/>
      </c>
      <c r="G101" s="40">
        <f>IF($B101="","",SUMPRODUCT(('LOG VẮNG'!$C$2:$C$1000&lt;&gt;"")*(YEAR('LOG VẮNG'!$C$2:$C$1000)=2026)*(MONTH('LOG VẮNG'!$C$2:$C$1000)=5)*ISNUMBER(SEARCH($A101,'LOG VẮNG'!$D$2:$D$1000))))</f>
        <v/>
      </c>
      <c r="H101" s="40">
        <f>IF($B101="","",SUMPRODUCT(('LOG VẮNG'!$C$2:$C$1000&lt;&gt;"")*(YEAR('LOG VẮNG'!$C$2:$C$1000)=2026)*(MONTH('LOG VẮNG'!$C$2:$C$1000)=6)*ISNUMBER(SEARCH($A101,'LOG VẮNG'!$D$2:$D$1000))))</f>
        <v/>
      </c>
      <c r="I101" s="40">
        <f>IF($B101="","",SUMPRODUCT(('LOG VẮNG'!$C$2:$C$1000&lt;&gt;"")*(YEAR('LOG VẮNG'!$C$2:$C$1000)=2026)*(MONTH('LOG VẮNG'!$C$2:$C$1000)=7)*ISNUMBER(SEARCH($A101,'LOG VẮNG'!$D$2:$D$1000))))</f>
        <v/>
      </c>
      <c r="J101" s="40">
        <f>IF($B101="","",SUMPRODUCT(('LOG VẮNG'!$C$2:$C$1000&lt;&gt;"")*(YEAR('LOG VẮNG'!$C$2:$C$1000)=2026)*(MONTH('LOG VẮNG'!$C$2:$C$1000)=8)*ISNUMBER(SEARCH($A101,'LOG VẮNG'!$D$2:$D$1000))))</f>
        <v/>
      </c>
      <c r="K101" s="40">
        <f>IF($B101="","",SUMPRODUCT(('LOG VẮNG'!$C$2:$C$1000&lt;&gt;"")*(YEAR('LOG VẮNG'!$C$2:$C$1000)=2026)*(MONTH('LOG VẮNG'!$C$2:$C$1000)=9)*ISNUMBER(SEARCH($A101,'LOG VẮNG'!$D$2:$D$1000))))</f>
        <v/>
      </c>
      <c r="L101" s="40">
        <f>IF($B101="","",SUMPRODUCT(('LOG VẮNG'!$C$2:$C$1000&lt;&gt;"")*(YEAR('LOG VẮNG'!$C$2:$C$1000)=2026)*(MONTH('LOG VẮNG'!$C$2:$C$1000)=10)*ISNUMBER(SEARCH($A101,'LOG VẮNG'!$D$2:$D$1000))))</f>
        <v/>
      </c>
      <c r="M101" s="40">
        <f>IF($B101="","",SUMPRODUCT(('LOG VẮNG'!$C$2:$C$1000&lt;&gt;"")*(YEAR('LOG VẮNG'!$C$2:$C$1000)=2026)*(MONTH('LOG VẮNG'!$C$2:$C$1000)=11)*ISNUMBER(SEARCH($A101,'LOG VẮNG'!$D$2:$D$1000))))</f>
        <v/>
      </c>
      <c r="N101" s="40">
        <f>IF($B101="","",SUMPRODUCT(('LOG VẮNG'!$C$2:$C$1000&lt;&gt;"")*(YEAR('LOG VẮNG'!$C$2:$C$1000)=2026)*(MONTH('LOG VẮNG'!$C$2:$C$1000)=12)*ISNUMBER(SEARCH($A101,'LOG VẮNG'!$D$2:$D$1000))))</f>
        <v/>
      </c>
      <c r="O101" s="40">
        <f>IF($B101="","",SUM(C101:N101))</f>
        <v/>
      </c>
    </row>
    <row r="102">
      <c r="A102" s="40" t="inlineStr">
        <is>
          <t>ORI100</t>
        </is>
      </c>
      <c r="B102" s="46">
        <f>IFERROR(INDEX('HỌC VIÊN'!$B$4:$B$203,MATCH($A102,'HỌC VIÊN'!$A$4:$A$203,0)),"")</f>
        <v/>
      </c>
      <c r="C102" s="40">
        <f>IF($B102="","",SUMPRODUCT(('LOG VẮNG'!$C$2:$C$1000&lt;&gt;"")*(YEAR('LOG VẮNG'!$C$2:$C$1000)=2026)*(MONTH('LOG VẮNG'!$C$2:$C$1000)=1)*ISNUMBER(SEARCH($A102,'LOG VẮNG'!$D$2:$D$1000))))</f>
        <v/>
      </c>
      <c r="D102" s="40">
        <f>IF($B102="","",SUMPRODUCT(('LOG VẮNG'!$C$2:$C$1000&lt;&gt;"")*(YEAR('LOG VẮNG'!$C$2:$C$1000)=2026)*(MONTH('LOG VẮNG'!$C$2:$C$1000)=2)*ISNUMBER(SEARCH($A102,'LOG VẮNG'!$D$2:$D$1000))))</f>
        <v/>
      </c>
      <c r="E102" s="40">
        <f>IF($B102="","",SUMPRODUCT(('LOG VẮNG'!$C$2:$C$1000&lt;&gt;"")*(YEAR('LOG VẮNG'!$C$2:$C$1000)=2026)*(MONTH('LOG VẮNG'!$C$2:$C$1000)=3)*ISNUMBER(SEARCH($A102,'LOG VẮNG'!$D$2:$D$1000))))</f>
        <v/>
      </c>
      <c r="F102" s="40">
        <f>IF($B102="","",SUMPRODUCT(('LOG VẮNG'!$C$2:$C$1000&lt;&gt;"")*(YEAR('LOG VẮNG'!$C$2:$C$1000)=2026)*(MONTH('LOG VẮNG'!$C$2:$C$1000)=4)*ISNUMBER(SEARCH($A102,'LOG VẮNG'!$D$2:$D$1000))))</f>
        <v/>
      </c>
      <c r="G102" s="40">
        <f>IF($B102="","",SUMPRODUCT(('LOG VẮNG'!$C$2:$C$1000&lt;&gt;"")*(YEAR('LOG VẮNG'!$C$2:$C$1000)=2026)*(MONTH('LOG VẮNG'!$C$2:$C$1000)=5)*ISNUMBER(SEARCH($A102,'LOG VẮNG'!$D$2:$D$1000))))</f>
        <v/>
      </c>
      <c r="H102" s="40">
        <f>IF($B102="","",SUMPRODUCT(('LOG VẮNG'!$C$2:$C$1000&lt;&gt;"")*(YEAR('LOG VẮNG'!$C$2:$C$1000)=2026)*(MONTH('LOG VẮNG'!$C$2:$C$1000)=6)*ISNUMBER(SEARCH($A102,'LOG VẮNG'!$D$2:$D$1000))))</f>
        <v/>
      </c>
      <c r="I102" s="40">
        <f>IF($B102="","",SUMPRODUCT(('LOG VẮNG'!$C$2:$C$1000&lt;&gt;"")*(YEAR('LOG VẮNG'!$C$2:$C$1000)=2026)*(MONTH('LOG VẮNG'!$C$2:$C$1000)=7)*ISNUMBER(SEARCH($A102,'LOG VẮNG'!$D$2:$D$1000))))</f>
        <v/>
      </c>
      <c r="J102" s="40">
        <f>IF($B102="","",SUMPRODUCT(('LOG VẮNG'!$C$2:$C$1000&lt;&gt;"")*(YEAR('LOG VẮNG'!$C$2:$C$1000)=2026)*(MONTH('LOG VẮNG'!$C$2:$C$1000)=8)*ISNUMBER(SEARCH($A102,'LOG VẮNG'!$D$2:$D$1000))))</f>
        <v/>
      </c>
      <c r="K102" s="40">
        <f>IF($B102="","",SUMPRODUCT(('LOG VẮNG'!$C$2:$C$1000&lt;&gt;"")*(YEAR('LOG VẮNG'!$C$2:$C$1000)=2026)*(MONTH('LOG VẮNG'!$C$2:$C$1000)=9)*ISNUMBER(SEARCH($A102,'LOG VẮNG'!$D$2:$D$1000))))</f>
        <v/>
      </c>
      <c r="L102" s="40">
        <f>IF($B102="","",SUMPRODUCT(('LOG VẮNG'!$C$2:$C$1000&lt;&gt;"")*(YEAR('LOG VẮNG'!$C$2:$C$1000)=2026)*(MONTH('LOG VẮNG'!$C$2:$C$1000)=10)*ISNUMBER(SEARCH($A102,'LOG VẮNG'!$D$2:$D$1000))))</f>
        <v/>
      </c>
      <c r="M102" s="40">
        <f>IF($B102="","",SUMPRODUCT(('LOG VẮNG'!$C$2:$C$1000&lt;&gt;"")*(YEAR('LOG VẮNG'!$C$2:$C$1000)=2026)*(MONTH('LOG VẮNG'!$C$2:$C$1000)=11)*ISNUMBER(SEARCH($A102,'LOG VẮNG'!$D$2:$D$1000))))</f>
        <v/>
      </c>
      <c r="N102" s="40">
        <f>IF($B102="","",SUMPRODUCT(('LOG VẮNG'!$C$2:$C$1000&lt;&gt;"")*(YEAR('LOG VẮNG'!$C$2:$C$1000)=2026)*(MONTH('LOG VẮNG'!$C$2:$C$1000)=12)*ISNUMBER(SEARCH($A102,'LOG VẮNG'!$D$2:$D$1000))))</f>
        <v/>
      </c>
      <c r="O102" s="40">
        <f>IF($B102="","",SUM(C102:N102))</f>
        <v/>
      </c>
    </row>
    <row r="103">
      <c r="A103" s="40" t="inlineStr">
        <is>
          <t>ORI101</t>
        </is>
      </c>
      <c r="B103" s="46">
        <f>IFERROR(INDEX('HỌC VIÊN'!$B$4:$B$203,MATCH($A103,'HỌC VIÊN'!$A$4:$A$203,0)),"")</f>
        <v/>
      </c>
      <c r="C103" s="40">
        <f>IF($B103="","",SUMPRODUCT(('LOG VẮNG'!$C$2:$C$1000&lt;&gt;"")*(YEAR('LOG VẮNG'!$C$2:$C$1000)=2026)*(MONTH('LOG VẮNG'!$C$2:$C$1000)=1)*ISNUMBER(SEARCH($A103,'LOG VẮNG'!$D$2:$D$1000))))</f>
        <v/>
      </c>
      <c r="D103" s="40">
        <f>IF($B103="","",SUMPRODUCT(('LOG VẮNG'!$C$2:$C$1000&lt;&gt;"")*(YEAR('LOG VẮNG'!$C$2:$C$1000)=2026)*(MONTH('LOG VẮNG'!$C$2:$C$1000)=2)*ISNUMBER(SEARCH($A103,'LOG VẮNG'!$D$2:$D$1000))))</f>
        <v/>
      </c>
      <c r="E103" s="40">
        <f>IF($B103="","",SUMPRODUCT(('LOG VẮNG'!$C$2:$C$1000&lt;&gt;"")*(YEAR('LOG VẮNG'!$C$2:$C$1000)=2026)*(MONTH('LOG VẮNG'!$C$2:$C$1000)=3)*ISNUMBER(SEARCH($A103,'LOG VẮNG'!$D$2:$D$1000))))</f>
        <v/>
      </c>
      <c r="F103" s="40">
        <f>IF($B103="","",SUMPRODUCT(('LOG VẮNG'!$C$2:$C$1000&lt;&gt;"")*(YEAR('LOG VẮNG'!$C$2:$C$1000)=2026)*(MONTH('LOG VẮNG'!$C$2:$C$1000)=4)*ISNUMBER(SEARCH($A103,'LOG VẮNG'!$D$2:$D$1000))))</f>
        <v/>
      </c>
      <c r="G103" s="40">
        <f>IF($B103="","",SUMPRODUCT(('LOG VẮNG'!$C$2:$C$1000&lt;&gt;"")*(YEAR('LOG VẮNG'!$C$2:$C$1000)=2026)*(MONTH('LOG VẮNG'!$C$2:$C$1000)=5)*ISNUMBER(SEARCH($A103,'LOG VẮNG'!$D$2:$D$1000))))</f>
        <v/>
      </c>
      <c r="H103" s="40">
        <f>IF($B103="","",SUMPRODUCT(('LOG VẮNG'!$C$2:$C$1000&lt;&gt;"")*(YEAR('LOG VẮNG'!$C$2:$C$1000)=2026)*(MONTH('LOG VẮNG'!$C$2:$C$1000)=6)*ISNUMBER(SEARCH($A103,'LOG VẮNG'!$D$2:$D$1000))))</f>
        <v/>
      </c>
      <c r="I103" s="40">
        <f>IF($B103="","",SUMPRODUCT(('LOG VẮNG'!$C$2:$C$1000&lt;&gt;"")*(YEAR('LOG VẮNG'!$C$2:$C$1000)=2026)*(MONTH('LOG VẮNG'!$C$2:$C$1000)=7)*ISNUMBER(SEARCH($A103,'LOG VẮNG'!$D$2:$D$1000))))</f>
        <v/>
      </c>
      <c r="J103" s="40">
        <f>IF($B103="","",SUMPRODUCT(('LOG VẮNG'!$C$2:$C$1000&lt;&gt;"")*(YEAR('LOG VẮNG'!$C$2:$C$1000)=2026)*(MONTH('LOG VẮNG'!$C$2:$C$1000)=8)*ISNUMBER(SEARCH($A103,'LOG VẮNG'!$D$2:$D$1000))))</f>
        <v/>
      </c>
      <c r="K103" s="40">
        <f>IF($B103="","",SUMPRODUCT(('LOG VẮNG'!$C$2:$C$1000&lt;&gt;"")*(YEAR('LOG VẮNG'!$C$2:$C$1000)=2026)*(MONTH('LOG VẮNG'!$C$2:$C$1000)=9)*ISNUMBER(SEARCH($A103,'LOG VẮNG'!$D$2:$D$1000))))</f>
        <v/>
      </c>
      <c r="L103" s="40">
        <f>IF($B103="","",SUMPRODUCT(('LOG VẮNG'!$C$2:$C$1000&lt;&gt;"")*(YEAR('LOG VẮNG'!$C$2:$C$1000)=2026)*(MONTH('LOG VẮNG'!$C$2:$C$1000)=10)*ISNUMBER(SEARCH($A103,'LOG VẮNG'!$D$2:$D$1000))))</f>
        <v/>
      </c>
      <c r="M103" s="40">
        <f>IF($B103="","",SUMPRODUCT(('LOG VẮNG'!$C$2:$C$1000&lt;&gt;"")*(YEAR('LOG VẮNG'!$C$2:$C$1000)=2026)*(MONTH('LOG VẮNG'!$C$2:$C$1000)=11)*ISNUMBER(SEARCH($A103,'LOG VẮNG'!$D$2:$D$1000))))</f>
        <v/>
      </c>
      <c r="N103" s="40">
        <f>IF($B103="","",SUMPRODUCT(('LOG VẮNG'!$C$2:$C$1000&lt;&gt;"")*(YEAR('LOG VẮNG'!$C$2:$C$1000)=2026)*(MONTH('LOG VẮNG'!$C$2:$C$1000)=12)*ISNUMBER(SEARCH($A103,'LOG VẮNG'!$D$2:$D$1000))))</f>
        <v/>
      </c>
      <c r="O103" s="40">
        <f>IF($B103="","",SUM(C103:N103))</f>
        <v/>
      </c>
    </row>
    <row r="104">
      <c r="A104" s="40" t="inlineStr">
        <is>
          <t>ORI102</t>
        </is>
      </c>
      <c r="B104" s="46">
        <f>IFERROR(INDEX('HỌC VIÊN'!$B$4:$B$203,MATCH($A104,'HỌC VIÊN'!$A$4:$A$203,0)),"")</f>
        <v/>
      </c>
      <c r="C104" s="40">
        <f>IF($B104="","",SUMPRODUCT(('LOG VẮNG'!$C$2:$C$1000&lt;&gt;"")*(YEAR('LOG VẮNG'!$C$2:$C$1000)=2026)*(MONTH('LOG VẮNG'!$C$2:$C$1000)=1)*ISNUMBER(SEARCH($A104,'LOG VẮNG'!$D$2:$D$1000))))</f>
        <v/>
      </c>
      <c r="D104" s="40">
        <f>IF($B104="","",SUMPRODUCT(('LOG VẮNG'!$C$2:$C$1000&lt;&gt;"")*(YEAR('LOG VẮNG'!$C$2:$C$1000)=2026)*(MONTH('LOG VẮNG'!$C$2:$C$1000)=2)*ISNUMBER(SEARCH($A104,'LOG VẮNG'!$D$2:$D$1000))))</f>
        <v/>
      </c>
      <c r="E104" s="40">
        <f>IF($B104="","",SUMPRODUCT(('LOG VẮNG'!$C$2:$C$1000&lt;&gt;"")*(YEAR('LOG VẮNG'!$C$2:$C$1000)=2026)*(MONTH('LOG VẮNG'!$C$2:$C$1000)=3)*ISNUMBER(SEARCH($A104,'LOG VẮNG'!$D$2:$D$1000))))</f>
        <v/>
      </c>
      <c r="F104" s="40">
        <f>IF($B104="","",SUMPRODUCT(('LOG VẮNG'!$C$2:$C$1000&lt;&gt;"")*(YEAR('LOG VẮNG'!$C$2:$C$1000)=2026)*(MONTH('LOG VẮNG'!$C$2:$C$1000)=4)*ISNUMBER(SEARCH($A104,'LOG VẮNG'!$D$2:$D$1000))))</f>
        <v/>
      </c>
      <c r="G104" s="40">
        <f>IF($B104="","",SUMPRODUCT(('LOG VẮNG'!$C$2:$C$1000&lt;&gt;"")*(YEAR('LOG VẮNG'!$C$2:$C$1000)=2026)*(MONTH('LOG VẮNG'!$C$2:$C$1000)=5)*ISNUMBER(SEARCH($A104,'LOG VẮNG'!$D$2:$D$1000))))</f>
        <v/>
      </c>
      <c r="H104" s="40">
        <f>IF($B104="","",SUMPRODUCT(('LOG VẮNG'!$C$2:$C$1000&lt;&gt;"")*(YEAR('LOG VẮNG'!$C$2:$C$1000)=2026)*(MONTH('LOG VẮNG'!$C$2:$C$1000)=6)*ISNUMBER(SEARCH($A104,'LOG VẮNG'!$D$2:$D$1000))))</f>
        <v/>
      </c>
      <c r="I104" s="40">
        <f>IF($B104="","",SUMPRODUCT(('LOG VẮNG'!$C$2:$C$1000&lt;&gt;"")*(YEAR('LOG VẮNG'!$C$2:$C$1000)=2026)*(MONTH('LOG VẮNG'!$C$2:$C$1000)=7)*ISNUMBER(SEARCH($A104,'LOG VẮNG'!$D$2:$D$1000))))</f>
        <v/>
      </c>
      <c r="J104" s="40">
        <f>IF($B104="","",SUMPRODUCT(('LOG VẮNG'!$C$2:$C$1000&lt;&gt;"")*(YEAR('LOG VẮNG'!$C$2:$C$1000)=2026)*(MONTH('LOG VẮNG'!$C$2:$C$1000)=8)*ISNUMBER(SEARCH($A104,'LOG VẮNG'!$D$2:$D$1000))))</f>
        <v/>
      </c>
      <c r="K104" s="40">
        <f>IF($B104="","",SUMPRODUCT(('LOG VẮNG'!$C$2:$C$1000&lt;&gt;"")*(YEAR('LOG VẮNG'!$C$2:$C$1000)=2026)*(MONTH('LOG VẮNG'!$C$2:$C$1000)=9)*ISNUMBER(SEARCH($A104,'LOG VẮNG'!$D$2:$D$1000))))</f>
        <v/>
      </c>
      <c r="L104" s="40">
        <f>IF($B104="","",SUMPRODUCT(('LOG VẮNG'!$C$2:$C$1000&lt;&gt;"")*(YEAR('LOG VẮNG'!$C$2:$C$1000)=2026)*(MONTH('LOG VẮNG'!$C$2:$C$1000)=10)*ISNUMBER(SEARCH($A104,'LOG VẮNG'!$D$2:$D$1000))))</f>
        <v/>
      </c>
      <c r="M104" s="40">
        <f>IF($B104="","",SUMPRODUCT(('LOG VẮNG'!$C$2:$C$1000&lt;&gt;"")*(YEAR('LOG VẮNG'!$C$2:$C$1000)=2026)*(MONTH('LOG VẮNG'!$C$2:$C$1000)=11)*ISNUMBER(SEARCH($A104,'LOG VẮNG'!$D$2:$D$1000))))</f>
        <v/>
      </c>
      <c r="N104" s="40">
        <f>IF($B104="","",SUMPRODUCT(('LOG VẮNG'!$C$2:$C$1000&lt;&gt;"")*(YEAR('LOG VẮNG'!$C$2:$C$1000)=2026)*(MONTH('LOG VẮNG'!$C$2:$C$1000)=12)*ISNUMBER(SEARCH($A104,'LOG VẮNG'!$D$2:$D$1000))))</f>
        <v/>
      </c>
      <c r="O104" s="40">
        <f>IF($B104="","",SUM(C104:N104))</f>
        <v/>
      </c>
    </row>
    <row r="105">
      <c r="A105" s="40" t="inlineStr">
        <is>
          <t>ORI103</t>
        </is>
      </c>
      <c r="B105" s="46">
        <f>IFERROR(INDEX('HỌC VIÊN'!$B$4:$B$203,MATCH($A105,'HỌC VIÊN'!$A$4:$A$203,0)),"")</f>
        <v/>
      </c>
      <c r="C105" s="40">
        <f>IF($B105="","",SUMPRODUCT(('LOG VẮNG'!$C$2:$C$1000&lt;&gt;"")*(YEAR('LOG VẮNG'!$C$2:$C$1000)=2026)*(MONTH('LOG VẮNG'!$C$2:$C$1000)=1)*ISNUMBER(SEARCH($A105,'LOG VẮNG'!$D$2:$D$1000))))</f>
        <v/>
      </c>
      <c r="D105" s="40">
        <f>IF($B105="","",SUMPRODUCT(('LOG VẮNG'!$C$2:$C$1000&lt;&gt;"")*(YEAR('LOG VẮNG'!$C$2:$C$1000)=2026)*(MONTH('LOG VẮNG'!$C$2:$C$1000)=2)*ISNUMBER(SEARCH($A105,'LOG VẮNG'!$D$2:$D$1000))))</f>
        <v/>
      </c>
      <c r="E105" s="40">
        <f>IF($B105="","",SUMPRODUCT(('LOG VẮNG'!$C$2:$C$1000&lt;&gt;"")*(YEAR('LOG VẮNG'!$C$2:$C$1000)=2026)*(MONTH('LOG VẮNG'!$C$2:$C$1000)=3)*ISNUMBER(SEARCH($A105,'LOG VẮNG'!$D$2:$D$1000))))</f>
        <v/>
      </c>
      <c r="F105" s="40">
        <f>IF($B105="","",SUMPRODUCT(('LOG VẮNG'!$C$2:$C$1000&lt;&gt;"")*(YEAR('LOG VẮNG'!$C$2:$C$1000)=2026)*(MONTH('LOG VẮNG'!$C$2:$C$1000)=4)*ISNUMBER(SEARCH($A105,'LOG VẮNG'!$D$2:$D$1000))))</f>
        <v/>
      </c>
      <c r="G105" s="40">
        <f>IF($B105="","",SUMPRODUCT(('LOG VẮNG'!$C$2:$C$1000&lt;&gt;"")*(YEAR('LOG VẮNG'!$C$2:$C$1000)=2026)*(MONTH('LOG VẮNG'!$C$2:$C$1000)=5)*ISNUMBER(SEARCH($A105,'LOG VẮNG'!$D$2:$D$1000))))</f>
        <v/>
      </c>
      <c r="H105" s="40">
        <f>IF($B105="","",SUMPRODUCT(('LOG VẮNG'!$C$2:$C$1000&lt;&gt;"")*(YEAR('LOG VẮNG'!$C$2:$C$1000)=2026)*(MONTH('LOG VẮNG'!$C$2:$C$1000)=6)*ISNUMBER(SEARCH($A105,'LOG VẮNG'!$D$2:$D$1000))))</f>
        <v/>
      </c>
      <c r="I105" s="40">
        <f>IF($B105="","",SUMPRODUCT(('LOG VẮNG'!$C$2:$C$1000&lt;&gt;"")*(YEAR('LOG VẮNG'!$C$2:$C$1000)=2026)*(MONTH('LOG VẮNG'!$C$2:$C$1000)=7)*ISNUMBER(SEARCH($A105,'LOG VẮNG'!$D$2:$D$1000))))</f>
        <v/>
      </c>
      <c r="J105" s="40">
        <f>IF($B105="","",SUMPRODUCT(('LOG VẮNG'!$C$2:$C$1000&lt;&gt;"")*(YEAR('LOG VẮNG'!$C$2:$C$1000)=2026)*(MONTH('LOG VẮNG'!$C$2:$C$1000)=8)*ISNUMBER(SEARCH($A105,'LOG VẮNG'!$D$2:$D$1000))))</f>
        <v/>
      </c>
      <c r="K105" s="40">
        <f>IF($B105="","",SUMPRODUCT(('LOG VẮNG'!$C$2:$C$1000&lt;&gt;"")*(YEAR('LOG VẮNG'!$C$2:$C$1000)=2026)*(MONTH('LOG VẮNG'!$C$2:$C$1000)=9)*ISNUMBER(SEARCH($A105,'LOG VẮNG'!$D$2:$D$1000))))</f>
        <v/>
      </c>
      <c r="L105" s="40">
        <f>IF($B105="","",SUMPRODUCT(('LOG VẮNG'!$C$2:$C$1000&lt;&gt;"")*(YEAR('LOG VẮNG'!$C$2:$C$1000)=2026)*(MONTH('LOG VẮNG'!$C$2:$C$1000)=10)*ISNUMBER(SEARCH($A105,'LOG VẮNG'!$D$2:$D$1000))))</f>
        <v/>
      </c>
      <c r="M105" s="40">
        <f>IF($B105="","",SUMPRODUCT(('LOG VẮNG'!$C$2:$C$1000&lt;&gt;"")*(YEAR('LOG VẮNG'!$C$2:$C$1000)=2026)*(MONTH('LOG VẮNG'!$C$2:$C$1000)=11)*ISNUMBER(SEARCH($A105,'LOG VẮNG'!$D$2:$D$1000))))</f>
        <v/>
      </c>
      <c r="N105" s="40">
        <f>IF($B105="","",SUMPRODUCT(('LOG VẮNG'!$C$2:$C$1000&lt;&gt;"")*(YEAR('LOG VẮNG'!$C$2:$C$1000)=2026)*(MONTH('LOG VẮNG'!$C$2:$C$1000)=12)*ISNUMBER(SEARCH($A105,'LOG VẮNG'!$D$2:$D$1000))))</f>
        <v/>
      </c>
      <c r="O105" s="40">
        <f>IF($B105="","",SUM(C105:N105))</f>
        <v/>
      </c>
    </row>
    <row r="106">
      <c r="A106" s="40" t="inlineStr">
        <is>
          <t>ORI104</t>
        </is>
      </c>
      <c r="B106" s="46">
        <f>IFERROR(INDEX('HỌC VIÊN'!$B$4:$B$203,MATCH($A106,'HỌC VIÊN'!$A$4:$A$203,0)),"")</f>
        <v/>
      </c>
      <c r="C106" s="40">
        <f>IF($B106="","",SUMPRODUCT(('LOG VẮNG'!$C$2:$C$1000&lt;&gt;"")*(YEAR('LOG VẮNG'!$C$2:$C$1000)=2026)*(MONTH('LOG VẮNG'!$C$2:$C$1000)=1)*ISNUMBER(SEARCH($A106,'LOG VẮNG'!$D$2:$D$1000))))</f>
        <v/>
      </c>
      <c r="D106" s="40">
        <f>IF($B106="","",SUMPRODUCT(('LOG VẮNG'!$C$2:$C$1000&lt;&gt;"")*(YEAR('LOG VẮNG'!$C$2:$C$1000)=2026)*(MONTH('LOG VẮNG'!$C$2:$C$1000)=2)*ISNUMBER(SEARCH($A106,'LOG VẮNG'!$D$2:$D$1000))))</f>
        <v/>
      </c>
      <c r="E106" s="40">
        <f>IF($B106="","",SUMPRODUCT(('LOG VẮNG'!$C$2:$C$1000&lt;&gt;"")*(YEAR('LOG VẮNG'!$C$2:$C$1000)=2026)*(MONTH('LOG VẮNG'!$C$2:$C$1000)=3)*ISNUMBER(SEARCH($A106,'LOG VẮNG'!$D$2:$D$1000))))</f>
        <v/>
      </c>
      <c r="F106" s="40">
        <f>IF($B106="","",SUMPRODUCT(('LOG VẮNG'!$C$2:$C$1000&lt;&gt;"")*(YEAR('LOG VẮNG'!$C$2:$C$1000)=2026)*(MONTH('LOG VẮNG'!$C$2:$C$1000)=4)*ISNUMBER(SEARCH($A106,'LOG VẮNG'!$D$2:$D$1000))))</f>
        <v/>
      </c>
      <c r="G106" s="40">
        <f>IF($B106="","",SUMPRODUCT(('LOG VẮNG'!$C$2:$C$1000&lt;&gt;"")*(YEAR('LOG VẮNG'!$C$2:$C$1000)=2026)*(MONTH('LOG VẮNG'!$C$2:$C$1000)=5)*ISNUMBER(SEARCH($A106,'LOG VẮNG'!$D$2:$D$1000))))</f>
        <v/>
      </c>
      <c r="H106" s="40">
        <f>IF($B106="","",SUMPRODUCT(('LOG VẮNG'!$C$2:$C$1000&lt;&gt;"")*(YEAR('LOG VẮNG'!$C$2:$C$1000)=2026)*(MONTH('LOG VẮNG'!$C$2:$C$1000)=6)*ISNUMBER(SEARCH($A106,'LOG VẮNG'!$D$2:$D$1000))))</f>
        <v/>
      </c>
      <c r="I106" s="40">
        <f>IF($B106="","",SUMPRODUCT(('LOG VẮNG'!$C$2:$C$1000&lt;&gt;"")*(YEAR('LOG VẮNG'!$C$2:$C$1000)=2026)*(MONTH('LOG VẮNG'!$C$2:$C$1000)=7)*ISNUMBER(SEARCH($A106,'LOG VẮNG'!$D$2:$D$1000))))</f>
        <v/>
      </c>
      <c r="J106" s="40">
        <f>IF($B106="","",SUMPRODUCT(('LOG VẮNG'!$C$2:$C$1000&lt;&gt;"")*(YEAR('LOG VẮNG'!$C$2:$C$1000)=2026)*(MONTH('LOG VẮNG'!$C$2:$C$1000)=8)*ISNUMBER(SEARCH($A106,'LOG VẮNG'!$D$2:$D$1000))))</f>
        <v/>
      </c>
      <c r="K106" s="40">
        <f>IF($B106="","",SUMPRODUCT(('LOG VẮNG'!$C$2:$C$1000&lt;&gt;"")*(YEAR('LOG VẮNG'!$C$2:$C$1000)=2026)*(MONTH('LOG VẮNG'!$C$2:$C$1000)=9)*ISNUMBER(SEARCH($A106,'LOG VẮNG'!$D$2:$D$1000))))</f>
        <v/>
      </c>
      <c r="L106" s="40">
        <f>IF($B106="","",SUMPRODUCT(('LOG VẮNG'!$C$2:$C$1000&lt;&gt;"")*(YEAR('LOG VẮNG'!$C$2:$C$1000)=2026)*(MONTH('LOG VẮNG'!$C$2:$C$1000)=10)*ISNUMBER(SEARCH($A106,'LOG VẮNG'!$D$2:$D$1000))))</f>
        <v/>
      </c>
      <c r="M106" s="40">
        <f>IF($B106="","",SUMPRODUCT(('LOG VẮNG'!$C$2:$C$1000&lt;&gt;"")*(YEAR('LOG VẮNG'!$C$2:$C$1000)=2026)*(MONTH('LOG VẮNG'!$C$2:$C$1000)=11)*ISNUMBER(SEARCH($A106,'LOG VẮNG'!$D$2:$D$1000))))</f>
        <v/>
      </c>
      <c r="N106" s="40">
        <f>IF($B106="","",SUMPRODUCT(('LOG VẮNG'!$C$2:$C$1000&lt;&gt;"")*(YEAR('LOG VẮNG'!$C$2:$C$1000)=2026)*(MONTH('LOG VẮNG'!$C$2:$C$1000)=12)*ISNUMBER(SEARCH($A106,'LOG VẮNG'!$D$2:$D$1000))))</f>
        <v/>
      </c>
      <c r="O106" s="40">
        <f>IF($B106="","",SUM(C106:N106))</f>
        <v/>
      </c>
    </row>
    <row r="107">
      <c r="A107" s="40" t="inlineStr">
        <is>
          <t>ORI105</t>
        </is>
      </c>
      <c r="B107" s="46">
        <f>IFERROR(INDEX('HỌC VIÊN'!$B$4:$B$203,MATCH($A107,'HỌC VIÊN'!$A$4:$A$203,0)),"")</f>
        <v/>
      </c>
      <c r="C107" s="40">
        <f>IF($B107="","",SUMPRODUCT(('LOG VẮNG'!$C$2:$C$1000&lt;&gt;"")*(YEAR('LOG VẮNG'!$C$2:$C$1000)=2026)*(MONTH('LOG VẮNG'!$C$2:$C$1000)=1)*ISNUMBER(SEARCH($A107,'LOG VẮNG'!$D$2:$D$1000))))</f>
        <v/>
      </c>
      <c r="D107" s="40">
        <f>IF($B107="","",SUMPRODUCT(('LOG VẮNG'!$C$2:$C$1000&lt;&gt;"")*(YEAR('LOG VẮNG'!$C$2:$C$1000)=2026)*(MONTH('LOG VẮNG'!$C$2:$C$1000)=2)*ISNUMBER(SEARCH($A107,'LOG VẮNG'!$D$2:$D$1000))))</f>
        <v/>
      </c>
      <c r="E107" s="40">
        <f>IF($B107="","",SUMPRODUCT(('LOG VẮNG'!$C$2:$C$1000&lt;&gt;"")*(YEAR('LOG VẮNG'!$C$2:$C$1000)=2026)*(MONTH('LOG VẮNG'!$C$2:$C$1000)=3)*ISNUMBER(SEARCH($A107,'LOG VẮNG'!$D$2:$D$1000))))</f>
        <v/>
      </c>
      <c r="F107" s="40">
        <f>IF($B107="","",SUMPRODUCT(('LOG VẮNG'!$C$2:$C$1000&lt;&gt;"")*(YEAR('LOG VẮNG'!$C$2:$C$1000)=2026)*(MONTH('LOG VẮNG'!$C$2:$C$1000)=4)*ISNUMBER(SEARCH($A107,'LOG VẮNG'!$D$2:$D$1000))))</f>
        <v/>
      </c>
      <c r="G107" s="40">
        <f>IF($B107="","",SUMPRODUCT(('LOG VẮNG'!$C$2:$C$1000&lt;&gt;"")*(YEAR('LOG VẮNG'!$C$2:$C$1000)=2026)*(MONTH('LOG VẮNG'!$C$2:$C$1000)=5)*ISNUMBER(SEARCH($A107,'LOG VẮNG'!$D$2:$D$1000))))</f>
        <v/>
      </c>
      <c r="H107" s="40">
        <f>IF($B107="","",SUMPRODUCT(('LOG VẮNG'!$C$2:$C$1000&lt;&gt;"")*(YEAR('LOG VẮNG'!$C$2:$C$1000)=2026)*(MONTH('LOG VẮNG'!$C$2:$C$1000)=6)*ISNUMBER(SEARCH($A107,'LOG VẮNG'!$D$2:$D$1000))))</f>
        <v/>
      </c>
      <c r="I107" s="40">
        <f>IF($B107="","",SUMPRODUCT(('LOG VẮNG'!$C$2:$C$1000&lt;&gt;"")*(YEAR('LOG VẮNG'!$C$2:$C$1000)=2026)*(MONTH('LOG VẮNG'!$C$2:$C$1000)=7)*ISNUMBER(SEARCH($A107,'LOG VẮNG'!$D$2:$D$1000))))</f>
        <v/>
      </c>
      <c r="J107" s="40">
        <f>IF($B107="","",SUMPRODUCT(('LOG VẮNG'!$C$2:$C$1000&lt;&gt;"")*(YEAR('LOG VẮNG'!$C$2:$C$1000)=2026)*(MONTH('LOG VẮNG'!$C$2:$C$1000)=8)*ISNUMBER(SEARCH($A107,'LOG VẮNG'!$D$2:$D$1000))))</f>
        <v/>
      </c>
      <c r="K107" s="40">
        <f>IF($B107="","",SUMPRODUCT(('LOG VẮNG'!$C$2:$C$1000&lt;&gt;"")*(YEAR('LOG VẮNG'!$C$2:$C$1000)=2026)*(MONTH('LOG VẮNG'!$C$2:$C$1000)=9)*ISNUMBER(SEARCH($A107,'LOG VẮNG'!$D$2:$D$1000))))</f>
        <v/>
      </c>
      <c r="L107" s="40">
        <f>IF($B107="","",SUMPRODUCT(('LOG VẮNG'!$C$2:$C$1000&lt;&gt;"")*(YEAR('LOG VẮNG'!$C$2:$C$1000)=2026)*(MONTH('LOG VẮNG'!$C$2:$C$1000)=10)*ISNUMBER(SEARCH($A107,'LOG VẮNG'!$D$2:$D$1000))))</f>
        <v/>
      </c>
      <c r="M107" s="40">
        <f>IF($B107="","",SUMPRODUCT(('LOG VẮNG'!$C$2:$C$1000&lt;&gt;"")*(YEAR('LOG VẮNG'!$C$2:$C$1000)=2026)*(MONTH('LOG VẮNG'!$C$2:$C$1000)=11)*ISNUMBER(SEARCH($A107,'LOG VẮNG'!$D$2:$D$1000))))</f>
        <v/>
      </c>
      <c r="N107" s="40">
        <f>IF($B107="","",SUMPRODUCT(('LOG VẮNG'!$C$2:$C$1000&lt;&gt;"")*(YEAR('LOG VẮNG'!$C$2:$C$1000)=2026)*(MONTH('LOG VẮNG'!$C$2:$C$1000)=12)*ISNUMBER(SEARCH($A107,'LOG VẮNG'!$D$2:$D$1000))))</f>
        <v/>
      </c>
      <c r="O107" s="40">
        <f>IF($B107="","",SUM(C107:N107))</f>
        <v/>
      </c>
    </row>
    <row r="108">
      <c r="A108" s="40" t="inlineStr">
        <is>
          <t>ORI106</t>
        </is>
      </c>
      <c r="B108" s="46">
        <f>IFERROR(INDEX('HỌC VIÊN'!$B$4:$B$203,MATCH($A108,'HỌC VIÊN'!$A$4:$A$203,0)),"")</f>
        <v/>
      </c>
      <c r="C108" s="40">
        <f>IF($B108="","",SUMPRODUCT(('LOG VẮNG'!$C$2:$C$1000&lt;&gt;"")*(YEAR('LOG VẮNG'!$C$2:$C$1000)=2026)*(MONTH('LOG VẮNG'!$C$2:$C$1000)=1)*ISNUMBER(SEARCH($A108,'LOG VẮNG'!$D$2:$D$1000))))</f>
        <v/>
      </c>
      <c r="D108" s="40">
        <f>IF($B108="","",SUMPRODUCT(('LOG VẮNG'!$C$2:$C$1000&lt;&gt;"")*(YEAR('LOG VẮNG'!$C$2:$C$1000)=2026)*(MONTH('LOG VẮNG'!$C$2:$C$1000)=2)*ISNUMBER(SEARCH($A108,'LOG VẮNG'!$D$2:$D$1000))))</f>
        <v/>
      </c>
      <c r="E108" s="40">
        <f>IF($B108="","",SUMPRODUCT(('LOG VẮNG'!$C$2:$C$1000&lt;&gt;"")*(YEAR('LOG VẮNG'!$C$2:$C$1000)=2026)*(MONTH('LOG VẮNG'!$C$2:$C$1000)=3)*ISNUMBER(SEARCH($A108,'LOG VẮNG'!$D$2:$D$1000))))</f>
        <v/>
      </c>
      <c r="F108" s="40">
        <f>IF($B108="","",SUMPRODUCT(('LOG VẮNG'!$C$2:$C$1000&lt;&gt;"")*(YEAR('LOG VẮNG'!$C$2:$C$1000)=2026)*(MONTH('LOG VẮNG'!$C$2:$C$1000)=4)*ISNUMBER(SEARCH($A108,'LOG VẮNG'!$D$2:$D$1000))))</f>
        <v/>
      </c>
      <c r="G108" s="40">
        <f>IF($B108="","",SUMPRODUCT(('LOG VẮNG'!$C$2:$C$1000&lt;&gt;"")*(YEAR('LOG VẮNG'!$C$2:$C$1000)=2026)*(MONTH('LOG VẮNG'!$C$2:$C$1000)=5)*ISNUMBER(SEARCH($A108,'LOG VẮNG'!$D$2:$D$1000))))</f>
        <v/>
      </c>
      <c r="H108" s="40">
        <f>IF($B108="","",SUMPRODUCT(('LOG VẮNG'!$C$2:$C$1000&lt;&gt;"")*(YEAR('LOG VẮNG'!$C$2:$C$1000)=2026)*(MONTH('LOG VẮNG'!$C$2:$C$1000)=6)*ISNUMBER(SEARCH($A108,'LOG VẮNG'!$D$2:$D$1000))))</f>
        <v/>
      </c>
      <c r="I108" s="40">
        <f>IF($B108="","",SUMPRODUCT(('LOG VẮNG'!$C$2:$C$1000&lt;&gt;"")*(YEAR('LOG VẮNG'!$C$2:$C$1000)=2026)*(MONTH('LOG VẮNG'!$C$2:$C$1000)=7)*ISNUMBER(SEARCH($A108,'LOG VẮNG'!$D$2:$D$1000))))</f>
        <v/>
      </c>
      <c r="J108" s="40">
        <f>IF($B108="","",SUMPRODUCT(('LOG VẮNG'!$C$2:$C$1000&lt;&gt;"")*(YEAR('LOG VẮNG'!$C$2:$C$1000)=2026)*(MONTH('LOG VẮNG'!$C$2:$C$1000)=8)*ISNUMBER(SEARCH($A108,'LOG VẮNG'!$D$2:$D$1000))))</f>
        <v/>
      </c>
      <c r="K108" s="40">
        <f>IF($B108="","",SUMPRODUCT(('LOG VẮNG'!$C$2:$C$1000&lt;&gt;"")*(YEAR('LOG VẮNG'!$C$2:$C$1000)=2026)*(MONTH('LOG VẮNG'!$C$2:$C$1000)=9)*ISNUMBER(SEARCH($A108,'LOG VẮNG'!$D$2:$D$1000))))</f>
        <v/>
      </c>
      <c r="L108" s="40">
        <f>IF($B108="","",SUMPRODUCT(('LOG VẮNG'!$C$2:$C$1000&lt;&gt;"")*(YEAR('LOG VẮNG'!$C$2:$C$1000)=2026)*(MONTH('LOG VẮNG'!$C$2:$C$1000)=10)*ISNUMBER(SEARCH($A108,'LOG VẮNG'!$D$2:$D$1000))))</f>
        <v/>
      </c>
      <c r="M108" s="40">
        <f>IF($B108="","",SUMPRODUCT(('LOG VẮNG'!$C$2:$C$1000&lt;&gt;"")*(YEAR('LOG VẮNG'!$C$2:$C$1000)=2026)*(MONTH('LOG VẮNG'!$C$2:$C$1000)=11)*ISNUMBER(SEARCH($A108,'LOG VẮNG'!$D$2:$D$1000))))</f>
        <v/>
      </c>
      <c r="N108" s="40">
        <f>IF($B108="","",SUMPRODUCT(('LOG VẮNG'!$C$2:$C$1000&lt;&gt;"")*(YEAR('LOG VẮNG'!$C$2:$C$1000)=2026)*(MONTH('LOG VẮNG'!$C$2:$C$1000)=12)*ISNUMBER(SEARCH($A108,'LOG VẮNG'!$D$2:$D$1000))))</f>
        <v/>
      </c>
      <c r="O108" s="40">
        <f>IF($B108="","",SUM(C108:N108))</f>
        <v/>
      </c>
    </row>
    <row r="109">
      <c r="A109" s="40" t="inlineStr">
        <is>
          <t>ORI107</t>
        </is>
      </c>
      <c r="B109" s="46">
        <f>IFERROR(INDEX('HỌC VIÊN'!$B$4:$B$203,MATCH($A109,'HỌC VIÊN'!$A$4:$A$203,0)),"")</f>
        <v/>
      </c>
      <c r="C109" s="40">
        <f>IF($B109="","",SUMPRODUCT(('LOG VẮNG'!$C$2:$C$1000&lt;&gt;"")*(YEAR('LOG VẮNG'!$C$2:$C$1000)=2026)*(MONTH('LOG VẮNG'!$C$2:$C$1000)=1)*ISNUMBER(SEARCH($A109,'LOG VẮNG'!$D$2:$D$1000))))</f>
        <v/>
      </c>
      <c r="D109" s="40">
        <f>IF($B109="","",SUMPRODUCT(('LOG VẮNG'!$C$2:$C$1000&lt;&gt;"")*(YEAR('LOG VẮNG'!$C$2:$C$1000)=2026)*(MONTH('LOG VẮNG'!$C$2:$C$1000)=2)*ISNUMBER(SEARCH($A109,'LOG VẮNG'!$D$2:$D$1000))))</f>
        <v/>
      </c>
      <c r="E109" s="40">
        <f>IF($B109="","",SUMPRODUCT(('LOG VẮNG'!$C$2:$C$1000&lt;&gt;"")*(YEAR('LOG VẮNG'!$C$2:$C$1000)=2026)*(MONTH('LOG VẮNG'!$C$2:$C$1000)=3)*ISNUMBER(SEARCH($A109,'LOG VẮNG'!$D$2:$D$1000))))</f>
        <v/>
      </c>
      <c r="F109" s="40">
        <f>IF($B109="","",SUMPRODUCT(('LOG VẮNG'!$C$2:$C$1000&lt;&gt;"")*(YEAR('LOG VẮNG'!$C$2:$C$1000)=2026)*(MONTH('LOG VẮNG'!$C$2:$C$1000)=4)*ISNUMBER(SEARCH($A109,'LOG VẮNG'!$D$2:$D$1000))))</f>
        <v/>
      </c>
      <c r="G109" s="40">
        <f>IF($B109="","",SUMPRODUCT(('LOG VẮNG'!$C$2:$C$1000&lt;&gt;"")*(YEAR('LOG VẮNG'!$C$2:$C$1000)=2026)*(MONTH('LOG VẮNG'!$C$2:$C$1000)=5)*ISNUMBER(SEARCH($A109,'LOG VẮNG'!$D$2:$D$1000))))</f>
        <v/>
      </c>
      <c r="H109" s="40">
        <f>IF($B109="","",SUMPRODUCT(('LOG VẮNG'!$C$2:$C$1000&lt;&gt;"")*(YEAR('LOG VẮNG'!$C$2:$C$1000)=2026)*(MONTH('LOG VẮNG'!$C$2:$C$1000)=6)*ISNUMBER(SEARCH($A109,'LOG VẮNG'!$D$2:$D$1000))))</f>
        <v/>
      </c>
      <c r="I109" s="40">
        <f>IF($B109="","",SUMPRODUCT(('LOG VẮNG'!$C$2:$C$1000&lt;&gt;"")*(YEAR('LOG VẮNG'!$C$2:$C$1000)=2026)*(MONTH('LOG VẮNG'!$C$2:$C$1000)=7)*ISNUMBER(SEARCH($A109,'LOG VẮNG'!$D$2:$D$1000))))</f>
        <v/>
      </c>
      <c r="J109" s="40">
        <f>IF($B109="","",SUMPRODUCT(('LOG VẮNG'!$C$2:$C$1000&lt;&gt;"")*(YEAR('LOG VẮNG'!$C$2:$C$1000)=2026)*(MONTH('LOG VẮNG'!$C$2:$C$1000)=8)*ISNUMBER(SEARCH($A109,'LOG VẮNG'!$D$2:$D$1000))))</f>
        <v/>
      </c>
      <c r="K109" s="40">
        <f>IF($B109="","",SUMPRODUCT(('LOG VẮNG'!$C$2:$C$1000&lt;&gt;"")*(YEAR('LOG VẮNG'!$C$2:$C$1000)=2026)*(MONTH('LOG VẮNG'!$C$2:$C$1000)=9)*ISNUMBER(SEARCH($A109,'LOG VẮNG'!$D$2:$D$1000))))</f>
        <v/>
      </c>
      <c r="L109" s="40">
        <f>IF($B109="","",SUMPRODUCT(('LOG VẮNG'!$C$2:$C$1000&lt;&gt;"")*(YEAR('LOG VẮNG'!$C$2:$C$1000)=2026)*(MONTH('LOG VẮNG'!$C$2:$C$1000)=10)*ISNUMBER(SEARCH($A109,'LOG VẮNG'!$D$2:$D$1000))))</f>
        <v/>
      </c>
      <c r="M109" s="40">
        <f>IF($B109="","",SUMPRODUCT(('LOG VẮNG'!$C$2:$C$1000&lt;&gt;"")*(YEAR('LOG VẮNG'!$C$2:$C$1000)=2026)*(MONTH('LOG VẮNG'!$C$2:$C$1000)=11)*ISNUMBER(SEARCH($A109,'LOG VẮNG'!$D$2:$D$1000))))</f>
        <v/>
      </c>
      <c r="N109" s="40">
        <f>IF($B109="","",SUMPRODUCT(('LOG VẮNG'!$C$2:$C$1000&lt;&gt;"")*(YEAR('LOG VẮNG'!$C$2:$C$1000)=2026)*(MONTH('LOG VẮNG'!$C$2:$C$1000)=12)*ISNUMBER(SEARCH($A109,'LOG VẮNG'!$D$2:$D$1000))))</f>
        <v/>
      </c>
      <c r="O109" s="40">
        <f>IF($B109="","",SUM(C109:N109))</f>
        <v/>
      </c>
    </row>
    <row r="110">
      <c r="A110" s="40" t="inlineStr">
        <is>
          <t>ORI108</t>
        </is>
      </c>
      <c r="B110" s="46">
        <f>IFERROR(INDEX('HỌC VIÊN'!$B$4:$B$203,MATCH($A110,'HỌC VIÊN'!$A$4:$A$203,0)),"")</f>
        <v/>
      </c>
      <c r="C110" s="40">
        <f>IF($B110="","",SUMPRODUCT(('LOG VẮNG'!$C$2:$C$1000&lt;&gt;"")*(YEAR('LOG VẮNG'!$C$2:$C$1000)=2026)*(MONTH('LOG VẮNG'!$C$2:$C$1000)=1)*ISNUMBER(SEARCH($A110,'LOG VẮNG'!$D$2:$D$1000))))</f>
        <v/>
      </c>
      <c r="D110" s="40">
        <f>IF($B110="","",SUMPRODUCT(('LOG VẮNG'!$C$2:$C$1000&lt;&gt;"")*(YEAR('LOG VẮNG'!$C$2:$C$1000)=2026)*(MONTH('LOG VẮNG'!$C$2:$C$1000)=2)*ISNUMBER(SEARCH($A110,'LOG VẮNG'!$D$2:$D$1000))))</f>
        <v/>
      </c>
      <c r="E110" s="40">
        <f>IF($B110="","",SUMPRODUCT(('LOG VẮNG'!$C$2:$C$1000&lt;&gt;"")*(YEAR('LOG VẮNG'!$C$2:$C$1000)=2026)*(MONTH('LOG VẮNG'!$C$2:$C$1000)=3)*ISNUMBER(SEARCH($A110,'LOG VẮNG'!$D$2:$D$1000))))</f>
        <v/>
      </c>
      <c r="F110" s="40">
        <f>IF($B110="","",SUMPRODUCT(('LOG VẮNG'!$C$2:$C$1000&lt;&gt;"")*(YEAR('LOG VẮNG'!$C$2:$C$1000)=2026)*(MONTH('LOG VẮNG'!$C$2:$C$1000)=4)*ISNUMBER(SEARCH($A110,'LOG VẮNG'!$D$2:$D$1000))))</f>
        <v/>
      </c>
      <c r="G110" s="40">
        <f>IF($B110="","",SUMPRODUCT(('LOG VẮNG'!$C$2:$C$1000&lt;&gt;"")*(YEAR('LOG VẮNG'!$C$2:$C$1000)=2026)*(MONTH('LOG VẮNG'!$C$2:$C$1000)=5)*ISNUMBER(SEARCH($A110,'LOG VẮNG'!$D$2:$D$1000))))</f>
        <v/>
      </c>
      <c r="H110" s="40">
        <f>IF($B110="","",SUMPRODUCT(('LOG VẮNG'!$C$2:$C$1000&lt;&gt;"")*(YEAR('LOG VẮNG'!$C$2:$C$1000)=2026)*(MONTH('LOG VẮNG'!$C$2:$C$1000)=6)*ISNUMBER(SEARCH($A110,'LOG VẮNG'!$D$2:$D$1000))))</f>
        <v/>
      </c>
      <c r="I110" s="40">
        <f>IF($B110="","",SUMPRODUCT(('LOG VẮNG'!$C$2:$C$1000&lt;&gt;"")*(YEAR('LOG VẮNG'!$C$2:$C$1000)=2026)*(MONTH('LOG VẮNG'!$C$2:$C$1000)=7)*ISNUMBER(SEARCH($A110,'LOG VẮNG'!$D$2:$D$1000))))</f>
        <v/>
      </c>
      <c r="J110" s="40">
        <f>IF($B110="","",SUMPRODUCT(('LOG VẮNG'!$C$2:$C$1000&lt;&gt;"")*(YEAR('LOG VẮNG'!$C$2:$C$1000)=2026)*(MONTH('LOG VẮNG'!$C$2:$C$1000)=8)*ISNUMBER(SEARCH($A110,'LOG VẮNG'!$D$2:$D$1000))))</f>
        <v/>
      </c>
      <c r="K110" s="40">
        <f>IF($B110="","",SUMPRODUCT(('LOG VẮNG'!$C$2:$C$1000&lt;&gt;"")*(YEAR('LOG VẮNG'!$C$2:$C$1000)=2026)*(MONTH('LOG VẮNG'!$C$2:$C$1000)=9)*ISNUMBER(SEARCH($A110,'LOG VẮNG'!$D$2:$D$1000))))</f>
        <v/>
      </c>
      <c r="L110" s="40">
        <f>IF($B110="","",SUMPRODUCT(('LOG VẮNG'!$C$2:$C$1000&lt;&gt;"")*(YEAR('LOG VẮNG'!$C$2:$C$1000)=2026)*(MONTH('LOG VẮNG'!$C$2:$C$1000)=10)*ISNUMBER(SEARCH($A110,'LOG VẮNG'!$D$2:$D$1000))))</f>
        <v/>
      </c>
      <c r="M110" s="40">
        <f>IF($B110="","",SUMPRODUCT(('LOG VẮNG'!$C$2:$C$1000&lt;&gt;"")*(YEAR('LOG VẮNG'!$C$2:$C$1000)=2026)*(MONTH('LOG VẮNG'!$C$2:$C$1000)=11)*ISNUMBER(SEARCH($A110,'LOG VẮNG'!$D$2:$D$1000))))</f>
        <v/>
      </c>
      <c r="N110" s="40">
        <f>IF($B110="","",SUMPRODUCT(('LOG VẮNG'!$C$2:$C$1000&lt;&gt;"")*(YEAR('LOG VẮNG'!$C$2:$C$1000)=2026)*(MONTH('LOG VẮNG'!$C$2:$C$1000)=12)*ISNUMBER(SEARCH($A110,'LOG VẮNG'!$D$2:$D$1000))))</f>
        <v/>
      </c>
      <c r="O110" s="40">
        <f>IF($B110="","",SUM(C110:N110))</f>
        <v/>
      </c>
    </row>
    <row r="111">
      <c r="A111" s="40" t="inlineStr">
        <is>
          <t>ORI109</t>
        </is>
      </c>
      <c r="B111" s="46">
        <f>IFERROR(INDEX('HỌC VIÊN'!$B$4:$B$203,MATCH($A111,'HỌC VIÊN'!$A$4:$A$203,0)),"")</f>
        <v/>
      </c>
      <c r="C111" s="40">
        <f>IF($B111="","",SUMPRODUCT(('LOG VẮNG'!$C$2:$C$1000&lt;&gt;"")*(YEAR('LOG VẮNG'!$C$2:$C$1000)=2026)*(MONTH('LOG VẮNG'!$C$2:$C$1000)=1)*ISNUMBER(SEARCH($A111,'LOG VẮNG'!$D$2:$D$1000))))</f>
        <v/>
      </c>
      <c r="D111" s="40">
        <f>IF($B111="","",SUMPRODUCT(('LOG VẮNG'!$C$2:$C$1000&lt;&gt;"")*(YEAR('LOG VẮNG'!$C$2:$C$1000)=2026)*(MONTH('LOG VẮNG'!$C$2:$C$1000)=2)*ISNUMBER(SEARCH($A111,'LOG VẮNG'!$D$2:$D$1000))))</f>
        <v/>
      </c>
      <c r="E111" s="40">
        <f>IF($B111="","",SUMPRODUCT(('LOG VẮNG'!$C$2:$C$1000&lt;&gt;"")*(YEAR('LOG VẮNG'!$C$2:$C$1000)=2026)*(MONTH('LOG VẮNG'!$C$2:$C$1000)=3)*ISNUMBER(SEARCH($A111,'LOG VẮNG'!$D$2:$D$1000))))</f>
        <v/>
      </c>
      <c r="F111" s="40">
        <f>IF($B111="","",SUMPRODUCT(('LOG VẮNG'!$C$2:$C$1000&lt;&gt;"")*(YEAR('LOG VẮNG'!$C$2:$C$1000)=2026)*(MONTH('LOG VẮNG'!$C$2:$C$1000)=4)*ISNUMBER(SEARCH($A111,'LOG VẮNG'!$D$2:$D$1000))))</f>
        <v/>
      </c>
      <c r="G111" s="40">
        <f>IF($B111="","",SUMPRODUCT(('LOG VẮNG'!$C$2:$C$1000&lt;&gt;"")*(YEAR('LOG VẮNG'!$C$2:$C$1000)=2026)*(MONTH('LOG VẮNG'!$C$2:$C$1000)=5)*ISNUMBER(SEARCH($A111,'LOG VẮNG'!$D$2:$D$1000))))</f>
        <v/>
      </c>
      <c r="H111" s="40">
        <f>IF($B111="","",SUMPRODUCT(('LOG VẮNG'!$C$2:$C$1000&lt;&gt;"")*(YEAR('LOG VẮNG'!$C$2:$C$1000)=2026)*(MONTH('LOG VẮNG'!$C$2:$C$1000)=6)*ISNUMBER(SEARCH($A111,'LOG VẮNG'!$D$2:$D$1000))))</f>
        <v/>
      </c>
      <c r="I111" s="40">
        <f>IF($B111="","",SUMPRODUCT(('LOG VẮNG'!$C$2:$C$1000&lt;&gt;"")*(YEAR('LOG VẮNG'!$C$2:$C$1000)=2026)*(MONTH('LOG VẮNG'!$C$2:$C$1000)=7)*ISNUMBER(SEARCH($A111,'LOG VẮNG'!$D$2:$D$1000))))</f>
        <v/>
      </c>
      <c r="J111" s="40">
        <f>IF($B111="","",SUMPRODUCT(('LOG VẮNG'!$C$2:$C$1000&lt;&gt;"")*(YEAR('LOG VẮNG'!$C$2:$C$1000)=2026)*(MONTH('LOG VẮNG'!$C$2:$C$1000)=8)*ISNUMBER(SEARCH($A111,'LOG VẮNG'!$D$2:$D$1000))))</f>
        <v/>
      </c>
      <c r="K111" s="40">
        <f>IF($B111="","",SUMPRODUCT(('LOG VẮNG'!$C$2:$C$1000&lt;&gt;"")*(YEAR('LOG VẮNG'!$C$2:$C$1000)=2026)*(MONTH('LOG VẮNG'!$C$2:$C$1000)=9)*ISNUMBER(SEARCH($A111,'LOG VẮNG'!$D$2:$D$1000))))</f>
        <v/>
      </c>
      <c r="L111" s="40">
        <f>IF($B111="","",SUMPRODUCT(('LOG VẮNG'!$C$2:$C$1000&lt;&gt;"")*(YEAR('LOG VẮNG'!$C$2:$C$1000)=2026)*(MONTH('LOG VẮNG'!$C$2:$C$1000)=10)*ISNUMBER(SEARCH($A111,'LOG VẮNG'!$D$2:$D$1000))))</f>
        <v/>
      </c>
      <c r="M111" s="40">
        <f>IF($B111="","",SUMPRODUCT(('LOG VẮNG'!$C$2:$C$1000&lt;&gt;"")*(YEAR('LOG VẮNG'!$C$2:$C$1000)=2026)*(MONTH('LOG VẮNG'!$C$2:$C$1000)=11)*ISNUMBER(SEARCH($A111,'LOG VẮNG'!$D$2:$D$1000))))</f>
        <v/>
      </c>
      <c r="N111" s="40">
        <f>IF($B111="","",SUMPRODUCT(('LOG VẮNG'!$C$2:$C$1000&lt;&gt;"")*(YEAR('LOG VẮNG'!$C$2:$C$1000)=2026)*(MONTH('LOG VẮNG'!$C$2:$C$1000)=12)*ISNUMBER(SEARCH($A111,'LOG VẮNG'!$D$2:$D$1000))))</f>
        <v/>
      </c>
      <c r="O111" s="40">
        <f>IF($B111="","",SUM(C111:N111))</f>
        <v/>
      </c>
    </row>
    <row r="112">
      <c r="A112" s="40" t="inlineStr">
        <is>
          <t>ORI110</t>
        </is>
      </c>
      <c r="B112" s="46">
        <f>IFERROR(INDEX('HỌC VIÊN'!$B$4:$B$203,MATCH($A112,'HỌC VIÊN'!$A$4:$A$203,0)),"")</f>
        <v/>
      </c>
      <c r="C112" s="40">
        <f>IF($B112="","",SUMPRODUCT(('LOG VẮNG'!$C$2:$C$1000&lt;&gt;"")*(YEAR('LOG VẮNG'!$C$2:$C$1000)=2026)*(MONTH('LOG VẮNG'!$C$2:$C$1000)=1)*ISNUMBER(SEARCH($A112,'LOG VẮNG'!$D$2:$D$1000))))</f>
        <v/>
      </c>
      <c r="D112" s="40">
        <f>IF($B112="","",SUMPRODUCT(('LOG VẮNG'!$C$2:$C$1000&lt;&gt;"")*(YEAR('LOG VẮNG'!$C$2:$C$1000)=2026)*(MONTH('LOG VẮNG'!$C$2:$C$1000)=2)*ISNUMBER(SEARCH($A112,'LOG VẮNG'!$D$2:$D$1000))))</f>
        <v/>
      </c>
      <c r="E112" s="40">
        <f>IF($B112="","",SUMPRODUCT(('LOG VẮNG'!$C$2:$C$1000&lt;&gt;"")*(YEAR('LOG VẮNG'!$C$2:$C$1000)=2026)*(MONTH('LOG VẮNG'!$C$2:$C$1000)=3)*ISNUMBER(SEARCH($A112,'LOG VẮNG'!$D$2:$D$1000))))</f>
        <v/>
      </c>
      <c r="F112" s="40">
        <f>IF($B112="","",SUMPRODUCT(('LOG VẮNG'!$C$2:$C$1000&lt;&gt;"")*(YEAR('LOG VẮNG'!$C$2:$C$1000)=2026)*(MONTH('LOG VẮNG'!$C$2:$C$1000)=4)*ISNUMBER(SEARCH($A112,'LOG VẮNG'!$D$2:$D$1000))))</f>
        <v/>
      </c>
      <c r="G112" s="40">
        <f>IF($B112="","",SUMPRODUCT(('LOG VẮNG'!$C$2:$C$1000&lt;&gt;"")*(YEAR('LOG VẮNG'!$C$2:$C$1000)=2026)*(MONTH('LOG VẮNG'!$C$2:$C$1000)=5)*ISNUMBER(SEARCH($A112,'LOG VẮNG'!$D$2:$D$1000))))</f>
        <v/>
      </c>
      <c r="H112" s="40">
        <f>IF($B112="","",SUMPRODUCT(('LOG VẮNG'!$C$2:$C$1000&lt;&gt;"")*(YEAR('LOG VẮNG'!$C$2:$C$1000)=2026)*(MONTH('LOG VẮNG'!$C$2:$C$1000)=6)*ISNUMBER(SEARCH($A112,'LOG VẮNG'!$D$2:$D$1000))))</f>
        <v/>
      </c>
      <c r="I112" s="40">
        <f>IF($B112="","",SUMPRODUCT(('LOG VẮNG'!$C$2:$C$1000&lt;&gt;"")*(YEAR('LOG VẮNG'!$C$2:$C$1000)=2026)*(MONTH('LOG VẮNG'!$C$2:$C$1000)=7)*ISNUMBER(SEARCH($A112,'LOG VẮNG'!$D$2:$D$1000))))</f>
        <v/>
      </c>
      <c r="J112" s="40">
        <f>IF($B112="","",SUMPRODUCT(('LOG VẮNG'!$C$2:$C$1000&lt;&gt;"")*(YEAR('LOG VẮNG'!$C$2:$C$1000)=2026)*(MONTH('LOG VẮNG'!$C$2:$C$1000)=8)*ISNUMBER(SEARCH($A112,'LOG VẮNG'!$D$2:$D$1000))))</f>
        <v/>
      </c>
      <c r="K112" s="40">
        <f>IF($B112="","",SUMPRODUCT(('LOG VẮNG'!$C$2:$C$1000&lt;&gt;"")*(YEAR('LOG VẮNG'!$C$2:$C$1000)=2026)*(MONTH('LOG VẮNG'!$C$2:$C$1000)=9)*ISNUMBER(SEARCH($A112,'LOG VẮNG'!$D$2:$D$1000))))</f>
        <v/>
      </c>
      <c r="L112" s="40">
        <f>IF($B112="","",SUMPRODUCT(('LOG VẮNG'!$C$2:$C$1000&lt;&gt;"")*(YEAR('LOG VẮNG'!$C$2:$C$1000)=2026)*(MONTH('LOG VẮNG'!$C$2:$C$1000)=10)*ISNUMBER(SEARCH($A112,'LOG VẮNG'!$D$2:$D$1000))))</f>
        <v/>
      </c>
      <c r="M112" s="40">
        <f>IF($B112="","",SUMPRODUCT(('LOG VẮNG'!$C$2:$C$1000&lt;&gt;"")*(YEAR('LOG VẮNG'!$C$2:$C$1000)=2026)*(MONTH('LOG VẮNG'!$C$2:$C$1000)=11)*ISNUMBER(SEARCH($A112,'LOG VẮNG'!$D$2:$D$1000))))</f>
        <v/>
      </c>
      <c r="N112" s="40">
        <f>IF($B112="","",SUMPRODUCT(('LOG VẮNG'!$C$2:$C$1000&lt;&gt;"")*(YEAR('LOG VẮNG'!$C$2:$C$1000)=2026)*(MONTH('LOG VẮNG'!$C$2:$C$1000)=12)*ISNUMBER(SEARCH($A112,'LOG VẮNG'!$D$2:$D$1000))))</f>
        <v/>
      </c>
      <c r="O112" s="40">
        <f>IF($B112="","",SUM(C112:N112))</f>
        <v/>
      </c>
    </row>
    <row r="113">
      <c r="A113" s="40" t="inlineStr">
        <is>
          <t>ORI111</t>
        </is>
      </c>
      <c r="B113" s="46">
        <f>IFERROR(INDEX('HỌC VIÊN'!$B$4:$B$203,MATCH($A113,'HỌC VIÊN'!$A$4:$A$203,0)),"")</f>
        <v/>
      </c>
      <c r="C113" s="40">
        <f>IF($B113="","",SUMPRODUCT(('LOG VẮNG'!$C$2:$C$1000&lt;&gt;"")*(YEAR('LOG VẮNG'!$C$2:$C$1000)=2026)*(MONTH('LOG VẮNG'!$C$2:$C$1000)=1)*ISNUMBER(SEARCH($A113,'LOG VẮNG'!$D$2:$D$1000))))</f>
        <v/>
      </c>
      <c r="D113" s="40">
        <f>IF($B113="","",SUMPRODUCT(('LOG VẮNG'!$C$2:$C$1000&lt;&gt;"")*(YEAR('LOG VẮNG'!$C$2:$C$1000)=2026)*(MONTH('LOG VẮNG'!$C$2:$C$1000)=2)*ISNUMBER(SEARCH($A113,'LOG VẮNG'!$D$2:$D$1000))))</f>
        <v/>
      </c>
      <c r="E113" s="40">
        <f>IF($B113="","",SUMPRODUCT(('LOG VẮNG'!$C$2:$C$1000&lt;&gt;"")*(YEAR('LOG VẮNG'!$C$2:$C$1000)=2026)*(MONTH('LOG VẮNG'!$C$2:$C$1000)=3)*ISNUMBER(SEARCH($A113,'LOG VẮNG'!$D$2:$D$1000))))</f>
        <v/>
      </c>
      <c r="F113" s="40">
        <f>IF($B113="","",SUMPRODUCT(('LOG VẮNG'!$C$2:$C$1000&lt;&gt;"")*(YEAR('LOG VẮNG'!$C$2:$C$1000)=2026)*(MONTH('LOG VẮNG'!$C$2:$C$1000)=4)*ISNUMBER(SEARCH($A113,'LOG VẮNG'!$D$2:$D$1000))))</f>
        <v/>
      </c>
      <c r="G113" s="40">
        <f>IF($B113="","",SUMPRODUCT(('LOG VẮNG'!$C$2:$C$1000&lt;&gt;"")*(YEAR('LOG VẮNG'!$C$2:$C$1000)=2026)*(MONTH('LOG VẮNG'!$C$2:$C$1000)=5)*ISNUMBER(SEARCH($A113,'LOG VẮNG'!$D$2:$D$1000))))</f>
        <v/>
      </c>
      <c r="H113" s="40">
        <f>IF($B113="","",SUMPRODUCT(('LOG VẮNG'!$C$2:$C$1000&lt;&gt;"")*(YEAR('LOG VẮNG'!$C$2:$C$1000)=2026)*(MONTH('LOG VẮNG'!$C$2:$C$1000)=6)*ISNUMBER(SEARCH($A113,'LOG VẮNG'!$D$2:$D$1000))))</f>
        <v/>
      </c>
      <c r="I113" s="40">
        <f>IF($B113="","",SUMPRODUCT(('LOG VẮNG'!$C$2:$C$1000&lt;&gt;"")*(YEAR('LOG VẮNG'!$C$2:$C$1000)=2026)*(MONTH('LOG VẮNG'!$C$2:$C$1000)=7)*ISNUMBER(SEARCH($A113,'LOG VẮNG'!$D$2:$D$1000))))</f>
        <v/>
      </c>
      <c r="J113" s="40">
        <f>IF($B113="","",SUMPRODUCT(('LOG VẮNG'!$C$2:$C$1000&lt;&gt;"")*(YEAR('LOG VẮNG'!$C$2:$C$1000)=2026)*(MONTH('LOG VẮNG'!$C$2:$C$1000)=8)*ISNUMBER(SEARCH($A113,'LOG VẮNG'!$D$2:$D$1000))))</f>
        <v/>
      </c>
      <c r="K113" s="40">
        <f>IF($B113="","",SUMPRODUCT(('LOG VẮNG'!$C$2:$C$1000&lt;&gt;"")*(YEAR('LOG VẮNG'!$C$2:$C$1000)=2026)*(MONTH('LOG VẮNG'!$C$2:$C$1000)=9)*ISNUMBER(SEARCH($A113,'LOG VẮNG'!$D$2:$D$1000))))</f>
        <v/>
      </c>
      <c r="L113" s="40">
        <f>IF($B113="","",SUMPRODUCT(('LOG VẮNG'!$C$2:$C$1000&lt;&gt;"")*(YEAR('LOG VẮNG'!$C$2:$C$1000)=2026)*(MONTH('LOG VẮNG'!$C$2:$C$1000)=10)*ISNUMBER(SEARCH($A113,'LOG VẮNG'!$D$2:$D$1000))))</f>
        <v/>
      </c>
      <c r="M113" s="40">
        <f>IF($B113="","",SUMPRODUCT(('LOG VẮNG'!$C$2:$C$1000&lt;&gt;"")*(YEAR('LOG VẮNG'!$C$2:$C$1000)=2026)*(MONTH('LOG VẮNG'!$C$2:$C$1000)=11)*ISNUMBER(SEARCH($A113,'LOG VẮNG'!$D$2:$D$1000))))</f>
        <v/>
      </c>
      <c r="N113" s="40">
        <f>IF($B113="","",SUMPRODUCT(('LOG VẮNG'!$C$2:$C$1000&lt;&gt;"")*(YEAR('LOG VẮNG'!$C$2:$C$1000)=2026)*(MONTH('LOG VẮNG'!$C$2:$C$1000)=12)*ISNUMBER(SEARCH($A113,'LOG VẮNG'!$D$2:$D$1000))))</f>
        <v/>
      </c>
      <c r="O113" s="40">
        <f>IF($B113="","",SUM(C113:N113))</f>
        <v/>
      </c>
    </row>
    <row r="114">
      <c r="A114" s="40" t="inlineStr">
        <is>
          <t>ORI112</t>
        </is>
      </c>
      <c r="B114" s="46">
        <f>IFERROR(INDEX('HỌC VIÊN'!$B$4:$B$203,MATCH($A114,'HỌC VIÊN'!$A$4:$A$203,0)),"")</f>
        <v/>
      </c>
      <c r="C114" s="40">
        <f>IF($B114="","",SUMPRODUCT(('LOG VẮNG'!$C$2:$C$1000&lt;&gt;"")*(YEAR('LOG VẮNG'!$C$2:$C$1000)=2026)*(MONTH('LOG VẮNG'!$C$2:$C$1000)=1)*ISNUMBER(SEARCH($A114,'LOG VẮNG'!$D$2:$D$1000))))</f>
        <v/>
      </c>
      <c r="D114" s="40">
        <f>IF($B114="","",SUMPRODUCT(('LOG VẮNG'!$C$2:$C$1000&lt;&gt;"")*(YEAR('LOG VẮNG'!$C$2:$C$1000)=2026)*(MONTH('LOG VẮNG'!$C$2:$C$1000)=2)*ISNUMBER(SEARCH($A114,'LOG VẮNG'!$D$2:$D$1000))))</f>
        <v/>
      </c>
      <c r="E114" s="40">
        <f>IF($B114="","",SUMPRODUCT(('LOG VẮNG'!$C$2:$C$1000&lt;&gt;"")*(YEAR('LOG VẮNG'!$C$2:$C$1000)=2026)*(MONTH('LOG VẮNG'!$C$2:$C$1000)=3)*ISNUMBER(SEARCH($A114,'LOG VẮNG'!$D$2:$D$1000))))</f>
        <v/>
      </c>
      <c r="F114" s="40">
        <f>IF($B114="","",SUMPRODUCT(('LOG VẮNG'!$C$2:$C$1000&lt;&gt;"")*(YEAR('LOG VẮNG'!$C$2:$C$1000)=2026)*(MONTH('LOG VẮNG'!$C$2:$C$1000)=4)*ISNUMBER(SEARCH($A114,'LOG VẮNG'!$D$2:$D$1000))))</f>
        <v/>
      </c>
      <c r="G114" s="40">
        <f>IF($B114="","",SUMPRODUCT(('LOG VẮNG'!$C$2:$C$1000&lt;&gt;"")*(YEAR('LOG VẮNG'!$C$2:$C$1000)=2026)*(MONTH('LOG VẮNG'!$C$2:$C$1000)=5)*ISNUMBER(SEARCH($A114,'LOG VẮNG'!$D$2:$D$1000))))</f>
        <v/>
      </c>
      <c r="H114" s="40">
        <f>IF($B114="","",SUMPRODUCT(('LOG VẮNG'!$C$2:$C$1000&lt;&gt;"")*(YEAR('LOG VẮNG'!$C$2:$C$1000)=2026)*(MONTH('LOG VẮNG'!$C$2:$C$1000)=6)*ISNUMBER(SEARCH($A114,'LOG VẮNG'!$D$2:$D$1000))))</f>
        <v/>
      </c>
      <c r="I114" s="40">
        <f>IF($B114="","",SUMPRODUCT(('LOG VẮNG'!$C$2:$C$1000&lt;&gt;"")*(YEAR('LOG VẮNG'!$C$2:$C$1000)=2026)*(MONTH('LOG VẮNG'!$C$2:$C$1000)=7)*ISNUMBER(SEARCH($A114,'LOG VẮNG'!$D$2:$D$1000))))</f>
        <v/>
      </c>
      <c r="J114" s="40">
        <f>IF($B114="","",SUMPRODUCT(('LOG VẮNG'!$C$2:$C$1000&lt;&gt;"")*(YEAR('LOG VẮNG'!$C$2:$C$1000)=2026)*(MONTH('LOG VẮNG'!$C$2:$C$1000)=8)*ISNUMBER(SEARCH($A114,'LOG VẮNG'!$D$2:$D$1000))))</f>
        <v/>
      </c>
      <c r="K114" s="40">
        <f>IF($B114="","",SUMPRODUCT(('LOG VẮNG'!$C$2:$C$1000&lt;&gt;"")*(YEAR('LOG VẮNG'!$C$2:$C$1000)=2026)*(MONTH('LOG VẮNG'!$C$2:$C$1000)=9)*ISNUMBER(SEARCH($A114,'LOG VẮNG'!$D$2:$D$1000))))</f>
        <v/>
      </c>
      <c r="L114" s="40">
        <f>IF($B114="","",SUMPRODUCT(('LOG VẮNG'!$C$2:$C$1000&lt;&gt;"")*(YEAR('LOG VẮNG'!$C$2:$C$1000)=2026)*(MONTH('LOG VẮNG'!$C$2:$C$1000)=10)*ISNUMBER(SEARCH($A114,'LOG VẮNG'!$D$2:$D$1000))))</f>
        <v/>
      </c>
      <c r="M114" s="40">
        <f>IF($B114="","",SUMPRODUCT(('LOG VẮNG'!$C$2:$C$1000&lt;&gt;"")*(YEAR('LOG VẮNG'!$C$2:$C$1000)=2026)*(MONTH('LOG VẮNG'!$C$2:$C$1000)=11)*ISNUMBER(SEARCH($A114,'LOG VẮNG'!$D$2:$D$1000))))</f>
        <v/>
      </c>
      <c r="N114" s="40">
        <f>IF($B114="","",SUMPRODUCT(('LOG VẮNG'!$C$2:$C$1000&lt;&gt;"")*(YEAR('LOG VẮNG'!$C$2:$C$1000)=2026)*(MONTH('LOG VẮNG'!$C$2:$C$1000)=12)*ISNUMBER(SEARCH($A114,'LOG VẮNG'!$D$2:$D$1000))))</f>
        <v/>
      </c>
      <c r="O114" s="40">
        <f>IF($B114="","",SUM(C114:N114))</f>
        <v/>
      </c>
    </row>
    <row r="115">
      <c r="A115" s="40" t="inlineStr">
        <is>
          <t>ORI113</t>
        </is>
      </c>
      <c r="B115" s="46">
        <f>IFERROR(INDEX('HỌC VIÊN'!$B$4:$B$203,MATCH($A115,'HỌC VIÊN'!$A$4:$A$203,0)),"")</f>
        <v/>
      </c>
      <c r="C115" s="40">
        <f>IF($B115="","",SUMPRODUCT(('LOG VẮNG'!$C$2:$C$1000&lt;&gt;"")*(YEAR('LOG VẮNG'!$C$2:$C$1000)=2026)*(MONTH('LOG VẮNG'!$C$2:$C$1000)=1)*ISNUMBER(SEARCH($A115,'LOG VẮNG'!$D$2:$D$1000))))</f>
        <v/>
      </c>
      <c r="D115" s="40">
        <f>IF($B115="","",SUMPRODUCT(('LOG VẮNG'!$C$2:$C$1000&lt;&gt;"")*(YEAR('LOG VẮNG'!$C$2:$C$1000)=2026)*(MONTH('LOG VẮNG'!$C$2:$C$1000)=2)*ISNUMBER(SEARCH($A115,'LOG VẮNG'!$D$2:$D$1000))))</f>
        <v/>
      </c>
      <c r="E115" s="40">
        <f>IF($B115="","",SUMPRODUCT(('LOG VẮNG'!$C$2:$C$1000&lt;&gt;"")*(YEAR('LOG VẮNG'!$C$2:$C$1000)=2026)*(MONTH('LOG VẮNG'!$C$2:$C$1000)=3)*ISNUMBER(SEARCH($A115,'LOG VẮNG'!$D$2:$D$1000))))</f>
        <v/>
      </c>
      <c r="F115" s="40">
        <f>IF($B115="","",SUMPRODUCT(('LOG VẮNG'!$C$2:$C$1000&lt;&gt;"")*(YEAR('LOG VẮNG'!$C$2:$C$1000)=2026)*(MONTH('LOG VẮNG'!$C$2:$C$1000)=4)*ISNUMBER(SEARCH($A115,'LOG VẮNG'!$D$2:$D$1000))))</f>
        <v/>
      </c>
      <c r="G115" s="40">
        <f>IF($B115="","",SUMPRODUCT(('LOG VẮNG'!$C$2:$C$1000&lt;&gt;"")*(YEAR('LOG VẮNG'!$C$2:$C$1000)=2026)*(MONTH('LOG VẮNG'!$C$2:$C$1000)=5)*ISNUMBER(SEARCH($A115,'LOG VẮNG'!$D$2:$D$1000))))</f>
        <v/>
      </c>
      <c r="H115" s="40">
        <f>IF($B115="","",SUMPRODUCT(('LOG VẮNG'!$C$2:$C$1000&lt;&gt;"")*(YEAR('LOG VẮNG'!$C$2:$C$1000)=2026)*(MONTH('LOG VẮNG'!$C$2:$C$1000)=6)*ISNUMBER(SEARCH($A115,'LOG VẮNG'!$D$2:$D$1000))))</f>
        <v/>
      </c>
      <c r="I115" s="40">
        <f>IF($B115="","",SUMPRODUCT(('LOG VẮNG'!$C$2:$C$1000&lt;&gt;"")*(YEAR('LOG VẮNG'!$C$2:$C$1000)=2026)*(MONTH('LOG VẮNG'!$C$2:$C$1000)=7)*ISNUMBER(SEARCH($A115,'LOG VẮNG'!$D$2:$D$1000))))</f>
        <v/>
      </c>
      <c r="J115" s="40">
        <f>IF($B115="","",SUMPRODUCT(('LOG VẮNG'!$C$2:$C$1000&lt;&gt;"")*(YEAR('LOG VẮNG'!$C$2:$C$1000)=2026)*(MONTH('LOG VẮNG'!$C$2:$C$1000)=8)*ISNUMBER(SEARCH($A115,'LOG VẮNG'!$D$2:$D$1000))))</f>
        <v/>
      </c>
      <c r="K115" s="40">
        <f>IF($B115="","",SUMPRODUCT(('LOG VẮNG'!$C$2:$C$1000&lt;&gt;"")*(YEAR('LOG VẮNG'!$C$2:$C$1000)=2026)*(MONTH('LOG VẮNG'!$C$2:$C$1000)=9)*ISNUMBER(SEARCH($A115,'LOG VẮNG'!$D$2:$D$1000))))</f>
        <v/>
      </c>
      <c r="L115" s="40">
        <f>IF($B115="","",SUMPRODUCT(('LOG VẮNG'!$C$2:$C$1000&lt;&gt;"")*(YEAR('LOG VẮNG'!$C$2:$C$1000)=2026)*(MONTH('LOG VẮNG'!$C$2:$C$1000)=10)*ISNUMBER(SEARCH($A115,'LOG VẮNG'!$D$2:$D$1000))))</f>
        <v/>
      </c>
      <c r="M115" s="40">
        <f>IF($B115="","",SUMPRODUCT(('LOG VẮNG'!$C$2:$C$1000&lt;&gt;"")*(YEAR('LOG VẮNG'!$C$2:$C$1000)=2026)*(MONTH('LOG VẮNG'!$C$2:$C$1000)=11)*ISNUMBER(SEARCH($A115,'LOG VẮNG'!$D$2:$D$1000))))</f>
        <v/>
      </c>
      <c r="N115" s="40">
        <f>IF($B115="","",SUMPRODUCT(('LOG VẮNG'!$C$2:$C$1000&lt;&gt;"")*(YEAR('LOG VẮNG'!$C$2:$C$1000)=2026)*(MONTH('LOG VẮNG'!$C$2:$C$1000)=12)*ISNUMBER(SEARCH($A115,'LOG VẮNG'!$D$2:$D$1000))))</f>
        <v/>
      </c>
      <c r="O115" s="40">
        <f>IF($B115="","",SUM(C115:N115))</f>
        <v/>
      </c>
    </row>
    <row r="116">
      <c r="A116" s="40" t="inlineStr">
        <is>
          <t>ORI114</t>
        </is>
      </c>
      <c r="B116" s="46">
        <f>IFERROR(INDEX('HỌC VIÊN'!$B$4:$B$203,MATCH($A116,'HỌC VIÊN'!$A$4:$A$203,0)),"")</f>
        <v/>
      </c>
      <c r="C116" s="40">
        <f>IF($B116="","",SUMPRODUCT(('LOG VẮNG'!$C$2:$C$1000&lt;&gt;"")*(YEAR('LOG VẮNG'!$C$2:$C$1000)=2026)*(MONTH('LOG VẮNG'!$C$2:$C$1000)=1)*ISNUMBER(SEARCH($A116,'LOG VẮNG'!$D$2:$D$1000))))</f>
        <v/>
      </c>
      <c r="D116" s="40">
        <f>IF($B116="","",SUMPRODUCT(('LOG VẮNG'!$C$2:$C$1000&lt;&gt;"")*(YEAR('LOG VẮNG'!$C$2:$C$1000)=2026)*(MONTH('LOG VẮNG'!$C$2:$C$1000)=2)*ISNUMBER(SEARCH($A116,'LOG VẮNG'!$D$2:$D$1000))))</f>
        <v/>
      </c>
      <c r="E116" s="40">
        <f>IF($B116="","",SUMPRODUCT(('LOG VẮNG'!$C$2:$C$1000&lt;&gt;"")*(YEAR('LOG VẮNG'!$C$2:$C$1000)=2026)*(MONTH('LOG VẮNG'!$C$2:$C$1000)=3)*ISNUMBER(SEARCH($A116,'LOG VẮNG'!$D$2:$D$1000))))</f>
        <v/>
      </c>
      <c r="F116" s="40">
        <f>IF($B116="","",SUMPRODUCT(('LOG VẮNG'!$C$2:$C$1000&lt;&gt;"")*(YEAR('LOG VẮNG'!$C$2:$C$1000)=2026)*(MONTH('LOG VẮNG'!$C$2:$C$1000)=4)*ISNUMBER(SEARCH($A116,'LOG VẮNG'!$D$2:$D$1000))))</f>
        <v/>
      </c>
      <c r="G116" s="40">
        <f>IF($B116="","",SUMPRODUCT(('LOG VẮNG'!$C$2:$C$1000&lt;&gt;"")*(YEAR('LOG VẮNG'!$C$2:$C$1000)=2026)*(MONTH('LOG VẮNG'!$C$2:$C$1000)=5)*ISNUMBER(SEARCH($A116,'LOG VẮNG'!$D$2:$D$1000))))</f>
        <v/>
      </c>
      <c r="H116" s="40">
        <f>IF($B116="","",SUMPRODUCT(('LOG VẮNG'!$C$2:$C$1000&lt;&gt;"")*(YEAR('LOG VẮNG'!$C$2:$C$1000)=2026)*(MONTH('LOG VẮNG'!$C$2:$C$1000)=6)*ISNUMBER(SEARCH($A116,'LOG VẮNG'!$D$2:$D$1000))))</f>
        <v/>
      </c>
      <c r="I116" s="40">
        <f>IF($B116="","",SUMPRODUCT(('LOG VẮNG'!$C$2:$C$1000&lt;&gt;"")*(YEAR('LOG VẮNG'!$C$2:$C$1000)=2026)*(MONTH('LOG VẮNG'!$C$2:$C$1000)=7)*ISNUMBER(SEARCH($A116,'LOG VẮNG'!$D$2:$D$1000))))</f>
        <v/>
      </c>
      <c r="J116" s="40">
        <f>IF($B116="","",SUMPRODUCT(('LOG VẮNG'!$C$2:$C$1000&lt;&gt;"")*(YEAR('LOG VẮNG'!$C$2:$C$1000)=2026)*(MONTH('LOG VẮNG'!$C$2:$C$1000)=8)*ISNUMBER(SEARCH($A116,'LOG VẮNG'!$D$2:$D$1000))))</f>
        <v/>
      </c>
      <c r="K116" s="40">
        <f>IF($B116="","",SUMPRODUCT(('LOG VẮNG'!$C$2:$C$1000&lt;&gt;"")*(YEAR('LOG VẮNG'!$C$2:$C$1000)=2026)*(MONTH('LOG VẮNG'!$C$2:$C$1000)=9)*ISNUMBER(SEARCH($A116,'LOG VẮNG'!$D$2:$D$1000))))</f>
        <v/>
      </c>
      <c r="L116" s="40">
        <f>IF($B116="","",SUMPRODUCT(('LOG VẮNG'!$C$2:$C$1000&lt;&gt;"")*(YEAR('LOG VẮNG'!$C$2:$C$1000)=2026)*(MONTH('LOG VẮNG'!$C$2:$C$1000)=10)*ISNUMBER(SEARCH($A116,'LOG VẮNG'!$D$2:$D$1000))))</f>
        <v/>
      </c>
      <c r="M116" s="40">
        <f>IF($B116="","",SUMPRODUCT(('LOG VẮNG'!$C$2:$C$1000&lt;&gt;"")*(YEAR('LOG VẮNG'!$C$2:$C$1000)=2026)*(MONTH('LOG VẮNG'!$C$2:$C$1000)=11)*ISNUMBER(SEARCH($A116,'LOG VẮNG'!$D$2:$D$1000))))</f>
        <v/>
      </c>
      <c r="N116" s="40">
        <f>IF($B116="","",SUMPRODUCT(('LOG VẮNG'!$C$2:$C$1000&lt;&gt;"")*(YEAR('LOG VẮNG'!$C$2:$C$1000)=2026)*(MONTH('LOG VẮNG'!$C$2:$C$1000)=12)*ISNUMBER(SEARCH($A116,'LOG VẮNG'!$D$2:$D$1000))))</f>
        <v/>
      </c>
      <c r="O116" s="40">
        <f>IF($B116="","",SUM(C116:N116))</f>
        <v/>
      </c>
    </row>
    <row r="117">
      <c r="A117" s="40" t="inlineStr">
        <is>
          <t>ORI115</t>
        </is>
      </c>
      <c r="B117" s="46">
        <f>IFERROR(INDEX('HỌC VIÊN'!$B$4:$B$203,MATCH($A117,'HỌC VIÊN'!$A$4:$A$203,0)),"")</f>
        <v/>
      </c>
      <c r="C117" s="40">
        <f>IF($B117="","",SUMPRODUCT(('LOG VẮNG'!$C$2:$C$1000&lt;&gt;"")*(YEAR('LOG VẮNG'!$C$2:$C$1000)=2026)*(MONTH('LOG VẮNG'!$C$2:$C$1000)=1)*ISNUMBER(SEARCH($A117,'LOG VẮNG'!$D$2:$D$1000))))</f>
        <v/>
      </c>
      <c r="D117" s="40">
        <f>IF($B117="","",SUMPRODUCT(('LOG VẮNG'!$C$2:$C$1000&lt;&gt;"")*(YEAR('LOG VẮNG'!$C$2:$C$1000)=2026)*(MONTH('LOG VẮNG'!$C$2:$C$1000)=2)*ISNUMBER(SEARCH($A117,'LOG VẮNG'!$D$2:$D$1000))))</f>
        <v/>
      </c>
      <c r="E117" s="40">
        <f>IF($B117="","",SUMPRODUCT(('LOG VẮNG'!$C$2:$C$1000&lt;&gt;"")*(YEAR('LOG VẮNG'!$C$2:$C$1000)=2026)*(MONTH('LOG VẮNG'!$C$2:$C$1000)=3)*ISNUMBER(SEARCH($A117,'LOG VẮNG'!$D$2:$D$1000))))</f>
        <v/>
      </c>
      <c r="F117" s="40">
        <f>IF($B117="","",SUMPRODUCT(('LOG VẮNG'!$C$2:$C$1000&lt;&gt;"")*(YEAR('LOG VẮNG'!$C$2:$C$1000)=2026)*(MONTH('LOG VẮNG'!$C$2:$C$1000)=4)*ISNUMBER(SEARCH($A117,'LOG VẮNG'!$D$2:$D$1000))))</f>
        <v/>
      </c>
      <c r="G117" s="40">
        <f>IF($B117="","",SUMPRODUCT(('LOG VẮNG'!$C$2:$C$1000&lt;&gt;"")*(YEAR('LOG VẮNG'!$C$2:$C$1000)=2026)*(MONTH('LOG VẮNG'!$C$2:$C$1000)=5)*ISNUMBER(SEARCH($A117,'LOG VẮNG'!$D$2:$D$1000))))</f>
        <v/>
      </c>
      <c r="H117" s="40">
        <f>IF($B117="","",SUMPRODUCT(('LOG VẮNG'!$C$2:$C$1000&lt;&gt;"")*(YEAR('LOG VẮNG'!$C$2:$C$1000)=2026)*(MONTH('LOG VẮNG'!$C$2:$C$1000)=6)*ISNUMBER(SEARCH($A117,'LOG VẮNG'!$D$2:$D$1000))))</f>
        <v/>
      </c>
      <c r="I117" s="40">
        <f>IF($B117="","",SUMPRODUCT(('LOG VẮNG'!$C$2:$C$1000&lt;&gt;"")*(YEAR('LOG VẮNG'!$C$2:$C$1000)=2026)*(MONTH('LOG VẮNG'!$C$2:$C$1000)=7)*ISNUMBER(SEARCH($A117,'LOG VẮNG'!$D$2:$D$1000))))</f>
        <v/>
      </c>
      <c r="J117" s="40">
        <f>IF($B117="","",SUMPRODUCT(('LOG VẮNG'!$C$2:$C$1000&lt;&gt;"")*(YEAR('LOG VẮNG'!$C$2:$C$1000)=2026)*(MONTH('LOG VẮNG'!$C$2:$C$1000)=8)*ISNUMBER(SEARCH($A117,'LOG VẮNG'!$D$2:$D$1000))))</f>
        <v/>
      </c>
      <c r="K117" s="40">
        <f>IF($B117="","",SUMPRODUCT(('LOG VẮNG'!$C$2:$C$1000&lt;&gt;"")*(YEAR('LOG VẮNG'!$C$2:$C$1000)=2026)*(MONTH('LOG VẮNG'!$C$2:$C$1000)=9)*ISNUMBER(SEARCH($A117,'LOG VẮNG'!$D$2:$D$1000))))</f>
        <v/>
      </c>
      <c r="L117" s="40">
        <f>IF($B117="","",SUMPRODUCT(('LOG VẮNG'!$C$2:$C$1000&lt;&gt;"")*(YEAR('LOG VẮNG'!$C$2:$C$1000)=2026)*(MONTH('LOG VẮNG'!$C$2:$C$1000)=10)*ISNUMBER(SEARCH($A117,'LOG VẮNG'!$D$2:$D$1000))))</f>
        <v/>
      </c>
      <c r="M117" s="40">
        <f>IF($B117="","",SUMPRODUCT(('LOG VẮNG'!$C$2:$C$1000&lt;&gt;"")*(YEAR('LOG VẮNG'!$C$2:$C$1000)=2026)*(MONTH('LOG VẮNG'!$C$2:$C$1000)=11)*ISNUMBER(SEARCH($A117,'LOG VẮNG'!$D$2:$D$1000))))</f>
        <v/>
      </c>
      <c r="N117" s="40">
        <f>IF($B117="","",SUMPRODUCT(('LOG VẮNG'!$C$2:$C$1000&lt;&gt;"")*(YEAR('LOG VẮNG'!$C$2:$C$1000)=2026)*(MONTH('LOG VẮNG'!$C$2:$C$1000)=12)*ISNUMBER(SEARCH($A117,'LOG VẮNG'!$D$2:$D$1000))))</f>
        <v/>
      </c>
      <c r="O117" s="40">
        <f>IF($B117="","",SUM(C117:N117))</f>
        <v/>
      </c>
    </row>
    <row r="118">
      <c r="A118" s="40" t="inlineStr">
        <is>
          <t>ORI116</t>
        </is>
      </c>
      <c r="B118" s="46">
        <f>IFERROR(INDEX('HỌC VIÊN'!$B$4:$B$203,MATCH($A118,'HỌC VIÊN'!$A$4:$A$203,0)),"")</f>
        <v/>
      </c>
      <c r="C118" s="40">
        <f>IF($B118="","",SUMPRODUCT(('LOG VẮNG'!$C$2:$C$1000&lt;&gt;"")*(YEAR('LOG VẮNG'!$C$2:$C$1000)=2026)*(MONTH('LOG VẮNG'!$C$2:$C$1000)=1)*ISNUMBER(SEARCH($A118,'LOG VẮNG'!$D$2:$D$1000))))</f>
        <v/>
      </c>
      <c r="D118" s="40">
        <f>IF($B118="","",SUMPRODUCT(('LOG VẮNG'!$C$2:$C$1000&lt;&gt;"")*(YEAR('LOG VẮNG'!$C$2:$C$1000)=2026)*(MONTH('LOG VẮNG'!$C$2:$C$1000)=2)*ISNUMBER(SEARCH($A118,'LOG VẮNG'!$D$2:$D$1000))))</f>
        <v/>
      </c>
      <c r="E118" s="40">
        <f>IF($B118="","",SUMPRODUCT(('LOG VẮNG'!$C$2:$C$1000&lt;&gt;"")*(YEAR('LOG VẮNG'!$C$2:$C$1000)=2026)*(MONTH('LOG VẮNG'!$C$2:$C$1000)=3)*ISNUMBER(SEARCH($A118,'LOG VẮNG'!$D$2:$D$1000))))</f>
        <v/>
      </c>
      <c r="F118" s="40">
        <f>IF($B118="","",SUMPRODUCT(('LOG VẮNG'!$C$2:$C$1000&lt;&gt;"")*(YEAR('LOG VẮNG'!$C$2:$C$1000)=2026)*(MONTH('LOG VẮNG'!$C$2:$C$1000)=4)*ISNUMBER(SEARCH($A118,'LOG VẮNG'!$D$2:$D$1000))))</f>
        <v/>
      </c>
      <c r="G118" s="40">
        <f>IF($B118="","",SUMPRODUCT(('LOG VẮNG'!$C$2:$C$1000&lt;&gt;"")*(YEAR('LOG VẮNG'!$C$2:$C$1000)=2026)*(MONTH('LOG VẮNG'!$C$2:$C$1000)=5)*ISNUMBER(SEARCH($A118,'LOG VẮNG'!$D$2:$D$1000))))</f>
        <v/>
      </c>
      <c r="H118" s="40">
        <f>IF($B118="","",SUMPRODUCT(('LOG VẮNG'!$C$2:$C$1000&lt;&gt;"")*(YEAR('LOG VẮNG'!$C$2:$C$1000)=2026)*(MONTH('LOG VẮNG'!$C$2:$C$1000)=6)*ISNUMBER(SEARCH($A118,'LOG VẮNG'!$D$2:$D$1000))))</f>
        <v/>
      </c>
      <c r="I118" s="40">
        <f>IF($B118="","",SUMPRODUCT(('LOG VẮNG'!$C$2:$C$1000&lt;&gt;"")*(YEAR('LOG VẮNG'!$C$2:$C$1000)=2026)*(MONTH('LOG VẮNG'!$C$2:$C$1000)=7)*ISNUMBER(SEARCH($A118,'LOG VẮNG'!$D$2:$D$1000))))</f>
        <v/>
      </c>
      <c r="J118" s="40">
        <f>IF($B118="","",SUMPRODUCT(('LOG VẮNG'!$C$2:$C$1000&lt;&gt;"")*(YEAR('LOG VẮNG'!$C$2:$C$1000)=2026)*(MONTH('LOG VẮNG'!$C$2:$C$1000)=8)*ISNUMBER(SEARCH($A118,'LOG VẮNG'!$D$2:$D$1000))))</f>
        <v/>
      </c>
      <c r="K118" s="40">
        <f>IF($B118="","",SUMPRODUCT(('LOG VẮNG'!$C$2:$C$1000&lt;&gt;"")*(YEAR('LOG VẮNG'!$C$2:$C$1000)=2026)*(MONTH('LOG VẮNG'!$C$2:$C$1000)=9)*ISNUMBER(SEARCH($A118,'LOG VẮNG'!$D$2:$D$1000))))</f>
        <v/>
      </c>
      <c r="L118" s="40">
        <f>IF($B118="","",SUMPRODUCT(('LOG VẮNG'!$C$2:$C$1000&lt;&gt;"")*(YEAR('LOG VẮNG'!$C$2:$C$1000)=2026)*(MONTH('LOG VẮNG'!$C$2:$C$1000)=10)*ISNUMBER(SEARCH($A118,'LOG VẮNG'!$D$2:$D$1000))))</f>
        <v/>
      </c>
      <c r="M118" s="40">
        <f>IF($B118="","",SUMPRODUCT(('LOG VẮNG'!$C$2:$C$1000&lt;&gt;"")*(YEAR('LOG VẮNG'!$C$2:$C$1000)=2026)*(MONTH('LOG VẮNG'!$C$2:$C$1000)=11)*ISNUMBER(SEARCH($A118,'LOG VẮNG'!$D$2:$D$1000))))</f>
        <v/>
      </c>
      <c r="N118" s="40">
        <f>IF($B118="","",SUMPRODUCT(('LOG VẮNG'!$C$2:$C$1000&lt;&gt;"")*(YEAR('LOG VẮNG'!$C$2:$C$1000)=2026)*(MONTH('LOG VẮNG'!$C$2:$C$1000)=12)*ISNUMBER(SEARCH($A118,'LOG VẮNG'!$D$2:$D$1000))))</f>
        <v/>
      </c>
      <c r="O118" s="40">
        <f>IF($B118="","",SUM(C118:N118))</f>
        <v/>
      </c>
    </row>
    <row r="119">
      <c r="A119" s="40" t="inlineStr">
        <is>
          <t>ORI117</t>
        </is>
      </c>
      <c r="B119" s="46">
        <f>IFERROR(INDEX('HỌC VIÊN'!$B$4:$B$203,MATCH($A119,'HỌC VIÊN'!$A$4:$A$203,0)),"")</f>
        <v/>
      </c>
      <c r="C119" s="40">
        <f>IF($B119="","",SUMPRODUCT(('LOG VẮNG'!$C$2:$C$1000&lt;&gt;"")*(YEAR('LOG VẮNG'!$C$2:$C$1000)=2026)*(MONTH('LOG VẮNG'!$C$2:$C$1000)=1)*ISNUMBER(SEARCH($A119,'LOG VẮNG'!$D$2:$D$1000))))</f>
        <v/>
      </c>
      <c r="D119" s="40">
        <f>IF($B119="","",SUMPRODUCT(('LOG VẮNG'!$C$2:$C$1000&lt;&gt;"")*(YEAR('LOG VẮNG'!$C$2:$C$1000)=2026)*(MONTH('LOG VẮNG'!$C$2:$C$1000)=2)*ISNUMBER(SEARCH($A119,'LOG VẮNG'!$D$2:$D$1000))))</f>
        <v/>
      </c>
      <c r="E119" s="40">
        <f>IF($B119="","",SUMPRODUCT(('LOG VẮNG'!$C$2:$C$1000&lt;&gt;"")*(YEAR('LOG VẮNG'!$C$2:$C$1000)=2026)*(MONTH('LOG VẮNG'!$C$2:$C$1000)=3)*ISNUMBER(SEARCH($A119,'LOG VẮNG'!$D$2:$D$1000))))</f>
        <v/>
      </c>
      <c r="F119" s="40">
        <f>IF($B119="","",SUMPRODUCT(('LOG VẮNG'!$C$2:$C$1000&lt;&gt;"")*(YEAR('LOG VẮNG'!$C$2:$C$1000)=2026)*(MONTH('LOG VẮNG'!$C$2:$C$1000)=4)*ISNUMBER(SEARCH($A119,'LOG VẮNG'!$D$2:$D$1000))))</f>
        <v/>
      </c>
      <c r="G119" s="40">
        <f>IF($B119="","",SUMPRODUCT(('LOG VẮNG'!$C$2:$C$1000&lt;&gt;"")*(YEAR('LOG VẮNG'!$C$2:$C$1000)=2026)*(MONTH('LOG VẮNG'!$C$2:$C$1000)=5)*ISNUMBER(SEARCH($A119,'LOG VẮNG'!$D$2:$D$1000))))</f>
        <v/>
      </c>
      <c r="H119" s="40">
        <f>IF($B119="","",SUMPRODUCT(('LOG VẮNG'!$C$2:$C$1000&lt;&gt;"")*(YEAR('LOG VẮNG'!$C$2:$C$1000)=2026)*(MONTH('LOG VẮNG'!$C$2:$C$1000)=6)*ISNUMBER(SEARCH($A119,'LOG VẮNG'!$D$2:$D$1000))))</f>
        <v/>
      </c>
      <c r="I119" s="40">
        <f>IF($B119="","",SUMPRODUCT(('LOG VẮNG'!$C$2:$C$1000&lt;&gt;"")*(YEAR('LOG VẮNG'!$C$2:$C$1000)=2026)*(MONTH('LOG VẮNG'!$C$2:$C$1000)=7)*ISNUMBER(SEARCH($A119,'LOG VẮNG'!$D$2:$D$1000))))</f>
        <v/>
      </c>
      <c r="J119" s="40">
        <f>IF($B119="","",SUMPRODUCT(('LOG VẮNG'!$C$2:$C$1000&lt;&gt;"")*(YEAR('LOG VẮNG'!$C$2:$C$1000)=2026)*(MONTH('LOG VẮNG'!$C$2:$C$1000)=8)*ISNUMBER(SEARCH($A119,'LOG VẮNG'!$D$2:$D$1000))))</f>
        <v/>
      </c>
      <c r="K119" s="40">
        <f>IF($B119="","",SUMPRODUCT(('LOG VẮNG'!$C$2:$C$1000&lt;&gt;"")*(YEAR('LOG VẮNG'!$C$2:$C$1000)=2026)*(MONTH('LOG VẮNG'!$C$2:$C$1000)=9)*ISNUMBER(SEARCH($A119,'LOG VẮNG'!$D$2:$D$1000))))</f>
        <v/>
      </c>
      <c r="L119" s="40">
        <f>IF($B119="","",SUMPRODUCT(('LOG VẮNG'!$C$2:$C$1000&lt;&gt;"")*(YEAR('LOG VẮNG'!$C$2:$C$1000)=2026)*(MONTH('LOG VẮNG'!$C$2:$C$1000)=10)*ISNUMBER(SEARCH($A119,'LOG VẮNG'!$D$2:$D$1000))))</f>
        <v/>
      </c>
      <c r="M119" s="40">
        <f>IF($B119="","",SUMPRODUCT(('LOG VẮNG'!$C$2:$C$1000&lt;&gt;"")*(YEAR('LOG VẮNG'!$C$2:$C$1000)=2026)*(MONTH('LOG VẮNG'!$C$2:$C$1000)=11)*ISNUMBER(SEARCH($A119,'LOG VẮNG'!$D$2:$D$1000))))</f>
        <v/>
      </c>
      <c r="N119" s="40">
        <f>IF($B119="","",SUMPRODUCT(('LOG VẮNG'!$C$2:$C$1000&lt;&gt;"")*(YEAR('LOG VẮNG'!$C$2:$C$1000)=2026)*(MONTH('LOG VẮNG'!$C$2:$C$1000)=12)*ISNUMBER(SEARCH($A119,'LOG VẮNG'!$D$2:$D$1000))))</f>
        <v/>
      </c>
      <c r="O119" s="40">
        <f>IF($B119="","",SUM(C119:N119))</f>
        <v/>
      </c>
    </row>
    <row r="120">
      <c r="A120" s="40" t="inlineStr">
        <is>
          <t>ORI118</t>
        </is>
      </c>
      <c r="B120" s="46">
        <f>IFERROR(INDEX('HỌC VIÊN'!$B$4:$B$203,MATCH($A120,'HỌC VIÊN'!$A$4:$A$203,0)),"")</f>
        <v/>
      </c>
      <c r="C120" s="40">
        <f>IF($B120="","",SUMPRODUCT(('LOG VẮNG'!$C$2:$C$1000&lt;&gt;"")*(YEAR('LOG VẮNG'!$C$2:$C$1000)=2026)*(MONTH('LOG VẮNG'!$C$2:$C$1000)=1)*ISNUMBER(SEARCH($A120,'LOG VẮNG'!$D$2:$D$1000))))</f>
        <v/>
      </c>
      <c r="D120" s="40">
        <f>IF($B120="","",SUMPRODUCT(('LOG VẮNG'!$C$2:$C$1000&lt;&gt;"")*(YEAR('LOG VẮNG'!$C$2:$C$1000)=2026)*(MONTH('LOG VẮNG'!$C$2:$C$1000)=2)*ISNUMBER(SEARCH($A120,'LOG VẮNG'!$D$2:$D$1000))))</f>
        <v/>
      </c>
      <c r="E120" s="40">
        <f>IF($B120="","",SUMPRODUCT(('LOG VẮNG'!$C$2:$C$1000&lt;&gt;"")*(YEAR('LOG VẮNG'!$C$2:$C$1000)=2026)*(MONTH('LOG VẮNG'!$C$2:$C$1000)=3)*ISNUMBER(SEARCH($A120,'LOG VẮNG'!$D$2:$D$1000))))</f>
        <v/>
      </c>
      <c r="F120" s="40">
        <f>IF($B120="","",SUMPRODUCT(('LOG VẮNG'!$C$2:$C$1000&lt;&gt;"")*(YEAR('LOG VẮNG'!$C$2:$C$1000)=2026)*(MONTH('LOG VẮNG'!$C$2:$C$1000)=4)*ISNUMBER(SEARCH($A120,'LOG VẮNG'!$D$2:$D$1000))))</f>
        <v/>
      </c>
      <c r="G120" s="40">
        <f>IF($B120="","",SUMPRODUCT(('LOG VẮNG'!$C$2:$C$1000&lt;&gt;"")*(YEAR('LOG VẮNG'!$C$2:$C$1000)=2026)*(MONTH('LOG VẮNG'!$C$2:$C$1000)=5)*ISNUMBER(SEARCH($A120,'LOG VẮNG'!$D$2:$D$1000))))</f>
        <v/>
      </c>
      <c r="H120" s="40">
        <f>IF($B120="","",SUMPRODUCT(('LOG VẮNG'!$C$2:$C$1000&lt;&gt;"")*(YEAR('LOG VẮNG'!$C$2:$C$1000)=2026)*(MONTH('LOG VẮNG'!$C$2:$C$1000)=6)*ISNUMBER(SEARCH($A120,'LOG VẮNG'!$D$2:$D$1000))))</f>
        <v/>
      </c>
      <c r="I120" s="40">
        <f>IF($B120="","",SUMPRODUCT(('LOG VẮNG'!$C$2:$C$1000&lt;&gt;"")*(YEAR('LOG VẮNG'!$C$2:$C$1000)=2026)*(MONTH('LOG VẮNG'!$C$2:$C$1000)=7)*ISNUMBER(SEARCH($A120,'LOG VẮNG'!$D$2:$D$1000))))</f>
        <v/>
      </c>
      <c r="J120" s="40">
        <f>IF($B120="","",SUMPRODUCT(('LOG VẮNG'!$C$2:$C$1000&lt;&gt;"")*(YEAR('LOG VẮNG'!$C$2:$C$1000)=2026)*(MONTH('LOG VẮNG'!$C$2:$C$1000)=8)*ISNUMBER(SEARCH($A120,'LOG VẮNG'!$D$2:$D$1000))))</f>
        <v/>
      </c>
      <c r="K120" s="40">
        <f>IF($B120="","",SUMPRODUCT(('LOG VẮNG'!$C$2:$C$1000&lt;&gt;"")*(YEAR('LOG VẮNG'!$C$2:$C$1000)=2026)*(MONTH('LOG VẮNG'!$C$2:$C$1000)=9)*ISNUMBER(SEARCH($A120,'LOG VẮNG'!$D$2:$D$1000))))</f>
        <v/>
      </c>
      <c r="L120" s="40">
        <f>IF($B120="","",SUMPRODUCT(('LOG VẮNG'!$C$2:$C$1000&lt;&gt;"")*(YEAR('LOG VẮNG'!$C$2:$C$1000)=2026)*(MONTH('LOG VẮNG'!$C$2:$C$1000)=10)*ISNUMBER(SEARCH($A120,'LOG VẮNG'!$D$2:$D$1000))))</f>
        <v/>
      </c>
      <c r="M120" s="40">
        <f>IF($B120="","",SUMPRODUCT(('LOG VẮNG'!$C$2:$C$1000&lt;&gt;"")*(YEAR('LOG VẮNG'!$C$2:$C$1000)=2026)*(MONTH('LOG VẮNG'!$C$2:$C$1000)=11)*ISNUMBER(SEARCH($A120,'LOG VẮNG'!$D$2:$D$1000))))</f>
        <v/>
      </c>
      <c r="N120" s="40">
        <f>IF($B120="","",SUMPRODUCT(('LOG VẮNG'!$C$2:$C$1000&lt;&gt;"")*(YEAR('LOG VẮNG'!$C$2:$C$1000)=2026)*(MONTH('LOG VẮNG'!$C$2:$C$1000)=12)*ISNUMBER(SEARCH($A120,'LOG VẮNG'!$D$2:$D$1000))))</f>
        <v/>
      </c>
      <c r="O120" s="40">
        <f>IF($B120="","",SUM(C120:N120))</f>
        <v/>
      </c>
    </row>
    <row r="121">
      <c r="A121" s="40" t="inlineStr">
        <is>
          <t>ORI119</t>
        </is>
      </c>
      <c r="B121" s="46">
        <f>IFERROR(INDEX('HỌC VIÊN'!$B$4:$B$203,MATCH($A121,'HỌC VIÊN'!$A$4:$A$203,0)),"")</f>
        <v/>
      </c>
      <c r="C121" s="40">
        <f>IF($B121="","",SUMPRODUCT(('LOG VẮNG'!$C$2:$C$1000&lt;&gt;"")*(YEAR('LOG VẮNG'!$C$2:$C$1000)=2026)*(MONTH('LOG VẮNG'!$C$2:$C$1000)=1)*ISNUMBER(SEARCH($A121,'LOG VẮNG'!$D$2:$D$1000))))</f>
        <v/>
      </c>
      <c r="D121" s="40">
        <f>IF($B121="","",SUMPRODUCT(('LOG VẮNG'!$C$2:$C$1000&lt;&gt;"")*(YEAR('LOG VẮNG'!$C$2:$C$1000)=2026)*(MONTH('LOG VẮNG'!$C$2:$C$1000)=2)*ISNUMBER(SEARCH($A121,'LOG VẮNG'!$D$2:$D$1000))))</f>
        <v/>
      </c>
      <c r="E121" s="40">
        <f>IF($B121="","",SUMPRODUCT(('LOG VẮNG'!$C$2:$C$1000&lt;&gt;"")*(YEAR('LOG VẮNG'!$C$2:$C$1000)=2026)*(MONTH('LOG VẮNG'!$C$2:$C$1000)=3)*ISNUMBER(SEARCH($A121,'LOG VẮNG'!$D$2:$D$1000))))</f>
        <v/>
      </c>
      <c r="F121" s="40">
        <f>IF($B121="","",SUMPRODUCT(('LOG VẮNG'!$C$2:$C$1000&lt;&gt;"")*(YEAR('LOG VẮNG'!$C$2:$C$1000)=2026)*(MONTH('LOG VẮNG'!$C$2:$C$1000)=4)*ISNUMBER(SEARCH($A121,'LOG VẮNG'!$D$2:$D$1000))))</f>
        <v/>
      </c>
      <c r="G121" s="40">
        <f>IF($B121="","",SUMPRODUCT(('LOG VẮNG'!$C$2:$C$1000&lt;&gt;"")*(YEAR('LOG VẮNG'!$C$2:$C$1000)=2026)*(MONTH('LOG VẮNG'!$C$2:$C$1000)=5)*ISNUMBER(SEARCH($A121,'LOG VẮNG'!$D$2:$D$1000))))</f>
        <v/>
      </c>
      <c r="H121" s="40">
        <f>IF($B121="","",SUMPRODUCT(('LOG VẮNG'!$C$2:$C$1000&lt;&gt;"")*(YEAR('LOG VẮNG'!$C$2:$C$1000)=2026)*(MONTH('LOG VẮNG'!$C$2:$C$1000)=6)*ISNUMBER(SEARCH($A121,'LOG VẮNG'!$D$2:$D$1000))))</f>
        <v/>
      </c>
      <c r="I121" s="40">
        <f>IF($B121="","",SUMPRODUCT(('LOG VẮNG'!$C$2:$C$1000&lt;&gt;"")*(YEAR('LOG VẮNG'!$C$2:$C$1000)=2026)*(MONTH('LOG VẮNG'!$C$2:$C$1000)=7)*ISNUMBER(SEARCH($A121,'LOG VẮNG'!$D$2:$D$1000))))</f>
        <v/>
      </c>
      <c r="J121" s="40">
        <f>IF($B121="","",SUMPRODUCT(('LOG VẮNG'!$C$2:$C$1000&lt;&gt;"")*(YEAR('LOG VẮNG'!$C$2:$C$1000)=2026)*(MONTH('LOG VẮNG'!$C$2:$C$1000)=8)*ISNUMBER(SEARCH($A121,'LOG VẮNG'!$D$2:$D$1000))))</f>
        <v/>
      </c>
      <c r="K121" s="40">
        <f>IF($B121="","",SUMPRODUCT(('LOG VẮNG'!$C$2:$C$1000&lt;&gt;"")*(YEAR('LOG VẮNG'!$C$2:$C$1000)=2026)*(MONTH('LOG VẮNG'!$C$2:$C$1000)=9)*ISNUMBER(SEARCH($A121,'LOG VẮNG'!$D$2:$D$1000))))</f>
        <v/>
      </c>
      <c r="L121" s="40">
        <f>IF($B121="","",SUMPRODUCT(('LOG VẮNG'!$C$2:$C$1000&lt;&gt;"")*(YEAR('LOG VẮNG'!$C$2:$C$1000)=2026)*(MONTH('LOG VẮNG'!$C$2:$C$1000)=10)*ISNUMBER(SEARCH($A121,'LOG VẮNG'!$D$2:$D$1000))))</f>
        <v/>
      </c>
      <c r="M121" s="40">
        <f>IF($B121="","",SUMPRODUCT(('LOG VẮNG'!$C$2:$C$1000&lt;&gt;"")*(YEAR('LOG VẮNG'!$C$2:$C$1000)=2026)*(MONTH('LOG VẮNG'!$C$2:$C$1000)=11)*ISNUMBER(SEARCH($A121,'LOG VẮNG'!$D$2:$D$1000))))</f>
        <v/>
      </c>
      <c r="N121" s="40">
        <f>IF($B121="","",SUMPRODUCT(('LOG VẮNG'!$C$2:$C$1000&lt;&gt;"")*(YEAR('LOG VẮNG'!$C$2:$C$1000)=2026)*(MONTH('LOG VẮNG'!$C$2:$C$1000)=12)*ISNUMBER(SEARCH($A121,'LOG VẮNG'!$D$2:$D$1000))))</f>
        <v/>
      </c>
      <c r="O121" s="40">
        <f>IF($B121="","",SUM(C121:N121))</f>
        <v/>
      </c>
    </row>
    <row r="122">
      <c r="A122" s="40" t="inlineStr">
        <is>
          <t>ORI120</t>
        </is>
      </c>
      <c r="B122" s="46">
        <f>IFERROR(INDEX('HỌC VIÊN'!$B$4:$B$203,MATCH($A122,'HỌC VIÊN'!$A$4:$A$203,0)),"")</f>
        <v/>
      </c>
      <c r="C122" s="40">
        <f>IF($B122="","",SUMPRODUCT(('LOG VẮNG'!$C$2:$C$1000&lt;&gt;"")*(YEAR('LOG VẮNG'!$C$2:$C$1000)=2026)*(MONTH('LOG VẮNG'!$C$2:$C$1000)=1)*ISNUMBER(SEARCH($A122,'LOG VẮNG'!$D$2:$D$1000))))</f>
        <v/>
      </c>
      <c r="D122" s="40">
        <f>IF($B122="","",SUMPRODUCT(('LOG VẮNG'!$C$2:$C$1000&lt;&gt;"")*(YEAR('LOG VẮNG'!$C$2:$C$1000)=2026)*(MONTH('LOG VẮNG'!$C$2:$C$1000)=2)*ISNUMBER(SEARCH($A122,'LOG VẮNG'!$D$2:$D$1000))))</f>
        <v/>
      </c>
      <c r="E122" s="40">
        <f>IF($B122="","",SUMPRODUCT(('LOG VẮNG'!$C$2:$C$1000&lt;&gt;"")*(YEAR('LOG VẮNG'!$C$2:$C$1000)=2026)*(MONTH('LOG VẮNG'!$C$2:$C$1000)=3)*ISNUMBER(SEARCH($A122,'LOG VẮNG'!$D$2:$D$1000))))</f>
        <v/>
      </c>
      <c r="F122" s="40">
        <f>IF($B122="","",SUMPRODUCT(('LOG VẮNG'!$C$2:$C$1000&lt;&gt;"")*(YEAR('LOG VẮNG'!$C$2:$C$1000)=2026)*(MONTH('LOG VẮNG'!$C$2:$C$1000)=4)*ISNUMBER(SEARCH($A122,'LOG VẮNG'!$D$2:$D$1000))))</f>
        <v/>
      </c>
      <c r="G122" s="40">
        <f>IF($B122="","",SUMPRODUCT(('LOG VẮNG'!$C$2:$C$1000&lt;&gt;"")*(YEAR('LOG VẮNG'!$C$2:$C$1000)=2026)*(MONTH('LOG VẮNG'!$C$2:$C$1000)=5)*ISNUMBER(SEARCH($A122,'LOG VẮNG'!$D$2:$D$1000))))</f>
        <v/>
      </c>
      <c r="H122" s="40">
        <f>IF($B122="","",SUMPRODUCT(('LOG VẮNG'!$C$2:$C$1000&lt;&gt;"")*(YEAR('LOG VẮNG'!$C$2:$C$1000)=2026)*(MONTH('LOG VẮNG'!$C$2:$C$1000)=6)*ISNUMBER(SEARCH($A122,'LOG VẮNG'!$D$2:$D$1000))))</f>
        <v/>
      </c>
      <c r="I122" s="40">
        <f>IF($B122="","",SUMPRODUCT(('LOG VẮNG'!$C$2:$C$1000&lt;&gt;"")*(YEAR('LOG VẮNG'!$C$2:$C$1000)=2026)*(MONTH('LOG VẮNG'!$C$2:$C$1000)=7)*ISNUMBER(SEARCH($A122,'LOG VẮNG'!$D$2:$D$1000))))</f>
        <v/>
      </c>
      <c r="J122" s="40">
        <f>IF($B122="","",SUMPRODUCT(('LOG VẮNG'!$C$2:$C$1000&lt;&gt;"")*(YEAR('LOG VẮNG'!$C$2:$C$1000)=2026)*(MONTH('LOG VẮNG'!$C$2:$C$1000)=8)*ISNUMBER(SEARCH($A122,'LOG VẮNG'!$D$2:$D$1000))))</f>
        <v/>
      </c>
      <c r="K122" s="40">
        <f>IF($B122="","",SUMPRODUCT(('LOG VẮNG'!$C$2:$C$1000&lt;&gt;"")*(YEAR('LOG VẮNG'!$C$2:$C$1000)=2026)*(MONTH('LOG VẮNG'!$C$2:$C$1000)=9)*ISNUMBER(SEARCH($A122,'LOG VẮNG'!$D$2:$D$1000))))</f>
        <v/>
      </c>
      <c r="L122" s="40">
        <f>IF($B122="","",SUMPRODUCT(('LOG VẮNG'!$C$2:$C$1000&lt;&gt;"")*(YEAR('LOG VẮNG'!$C$2:$C$1000)=2026)*(MONTH('LOG VẮNG'!$C$2:$C$1000)=10)*ISNUMBER(SEARCH($A122,'LOG VẮNG'!$D$2:$D$1000))))</f>
        <v/>
      </c>
      <c r="M122" s="40">
        <f>IF($B122="","",SUMPRODUCT(('LOG VẮNG'!$C$2:$C$1000&lt;&gt;"")*(YEAR('LOG VẮNG'!$C$2:$C$1000)=2026)*(MONTH('LOG VẮNG'!$C$2:$C$1000)=11)*ISNUMBER(SEARCH($A122,'LOG VẮNG'!$D$2:$D$1000))))</f>
        <v/>
      </c>
      <c r="N122" s="40">
        <f>IF($B122="","",SUMPRODUCT(('LOG VẮNG'!$C$2:$C$1000&lt;&gt;"")*(YEAR('LOG VẮNG'!$C$2:$C$1000)=2026)*(MONTH('LOG VẮNG'!$C$2:$C$1000)=12)*ISNUMBER(SEARCH($A122,'LOG VẮNG'!$D$2:$D$1000))))</f>
        <v/>
      </c>
      <c r="O122" s="40">
        <f>IF($B122="","",SUM(C122:N122))</f>
        <v/>
      </c>
    </row>
    <row r="123">
      <c r="A123" s="40" t="inlineStr">
        <is>
          <t>ORI121</t>
        </is>
      </c>
      <c r="B123" s="46">
        <f>IFERROR(INDEX('HỌC VIÊN'!$B$4:$B$203,MATCH($A123,'HỌC VIÊN'!$A$4:$A$203,0)),"")</f>
        <v/>
      </c>
      <c r="C123" s="40">
        <f>IF($B123="","",SUMPRODUCT(('LOG VẮNG'!$C$2:$C$1000&lt;&gt;"")*(YEAR('LOG VẮNG'!$C$2:$C$1000)=2026)*(MONTH('LOG VẮNG'!$C$2:$C$1000)=1)*ISNUMBER(SEARCH($A123,'LOG VẮNG'!$D$2:$D$1000))))</f>
        <v/>
      </c>
      <c r="D123" s="40">
        <f>IF($B123="","",SUMPRODUCT(('LOG VẮNG'!$C$2:$C$1000&lt;&gt;"")*(YEAR('LOG VẮNG'!$C$2:$C$1000)=2026)*(MONTH('LOG VẮNG'!$C$2:$C$1000)=2)*ISNUMBER(SEARCH($A123,'LOG VẮNG'!$D$2:$D$1000))))</f>
        <v/>
      </c>
      <c r="E123" s="40">
        <f>IF($B123="","",SUMPRODUCT(('LOG VẮNG'!$C$2:$C$1000&lt;&gt;"")*(YEAR('LOG VẮNG'!$C$2:$C$1000)=2026)*(MONTH('LOG VẮNG'!$C$2:$C$1000)=3)*ISNUMBER(SEARCH($A123,'LOG VẮNG'!$D$2:$D$1000))))</f>
        <v/>
      </c>
      <c r="F123" s="40">
        <f>IF($B123="","",SUMPRODUCT(('LOG VẮNG'!$C$2:$C$1000&lt;&gt;"")*(YEAR('LOG VẮNG'!$C$2:$C$1000)=2026)*(MONTH('LOG VẮNG'!$C$2:$C$1000)=4)*ISNUMBER(SEARCH($A123,'LOG VẮNG'!$D$2:$D$1000))))</f>
        <v/>
      </c>
      <c r="G123" s="40">
        <f>IF($B123="","",SUMPRODUCT(('LOG VẮNG'!$C$2:$C$1000&lt;&gt;"")*(YEAR('LOG VẮNG'!$C$2:$C$1000)=2026)*(MONTH('LOG VẮNG'!$C$2:$C$1000)=5)*ISNUMBER(SEARCH($A123,'LOG VẮNG'!$D$2:$D$1000))))</f>
        <v/>
      </c>
      <c r="H123" s="40">
        <f>IF($B123="","",SUMPRODUCT(('LOG VẮNG'!$C$2:$C$1000&lt;&gt;"")*(YEAR('LOG VẮNG'!$C$2:$C$1000)=2026)*(MONTH('LOG VẮNG'!$C$2:$C$1000)=6)*ISNUMBER(SEARCH($A123,'LOG VẮNG'!$D$2:$D$1000))))</f>
        <v/>
      </c>
      <c r="I123" s="40">
        <f>IF($B123="","",SUMPRODUCT(('LOG VẮNG'!$C$2:$C$1000&lt;&gt;"")*(YEAR('LOG VẮNG'!$C$2:$C$1000)=2026)*(MONTH('LOG VẮNG'!$C$2:$C$1000)=7)*ISNUMBER(SEARCH($A123,'LOG VẮNG'!$D$2:$D$1000))))</f>
        <v/>
      </c>
      <c r="J123" s="40">
        <f>IF($B123="","",SUMPRODUCT(('LOG VẮNG'!$C$2:$C$1000&lt;&gt;"")*(YEAR('LOG VẮNG'!$C$2:$C$1000)=2026)*(MONTH('LOG VẮNG'!$C$2:$C$1000)=8)*ISNUMBER(SEARCH($A123,'LOG VẮNG'!$D$2:$D$1000))))</f>
        <v/>
      </c>
      <c r="K123" s="40">
        <f>IF($B123="","",SUMPRODUCT(('LOG VẮNG'!$C$2:$C$1000&lt;&gt;"")*(YEAR('LOG VẮNG'!$C$2:$C$1000)=2026)*(MONTH('LOG VẮNG'!$C$2:$C$1000)=9)*ISNUMBER(SEARCH($A123,'LOG VẮNG'!$D$2:$D$1000))))</f>
        <v/>
      </c>
      <c r="L123" s="40">
        <f>IF($B123="","",SUMPRODUCT(('LOG VẮNG'!$C$2:$C$1000&lt;&gt;"")*(YEAR('LOG VẮNG'!$C$2:$C$1000)=2026)*(MONTH('LOG VẮNG'!$C$2:$C$1000)=10)*ISNUMBER(SEARCH($A123,'LOG VẮNG'!$D$2:$D$1000))))</f>
        <v/>
      </c>
      <c r="M123" s="40">
        <f>IF($B123="","",SUMPRODUCT(('LOG VẮNG'!$C$2:$C$1000&lt;&gt;"")*(YEAR('LOG VẮNG'!$C$2:$C$1000)=2026)*(MONTH('LOG VẮNG'!$C$2:$C$1000)=11)*ISNUMBER(SEARCH($A123,'LOG VẮNG'!$D$2:$D$1000))))</f>
        <v/>
      </c>
      <c r="N123" s="40">
        <f>IF($B123="","",SUMPRODUCT(('LOG VẮNG'!$C$2:$C$1000&lt;&gt;"")*(YEAR('LOG VẮNG'!$C$2:$C$1000)=2026)*(MONTH('LOG VẮNG'!$C$2:$C$1000)=12)*ISNUMBER(SEARCH($A123,'LOG VẮNG'!$D$2:$D$1000))))</f>
        <v/>
      </c>
      <c r="O123" s="40">
        <f>IF($B123="","",SUM(C123:N123))</f>
        <v/>
      </c>
    </row>
    <row r="124">
      <c r="A124" s="40" t="inlineStr">
        <is>
          <t>ORI122</t>
        </is>
      </c>
      <c r="B124" s="46">
        <f>IFERROR(INDEX('HỌC VIÊN'!$B$4:$B$203,MATCH($A124,'HỌC VIÊN'!$A$4:$A$203,0)),"")</f>
        <v/>
      </c>
      <c r="C124" s="40">
        <f>IF($B124="","",SUMPRODUCT(('LOG VẮNG'!$C$2:$C$1000&lt;&gt;"")*(YEAR('LOG VẮNG'!$C$2:$C$1000)=2026)*(MONTH('LOG VẮNG'!$C$2:$C$1000)=1)*ISNUMBER(SEARCH($A124,'LOG VẮNG'!$D$2:$D$1000))))</f>
        <v/>
      </c>
      <c r="D124" s="40">
        <f>IF($B124="","",SUMPRODUCT(('LOG VẮNG'!$C$2:$C$1000&lt;&gt;"")*(YEAR('LOG VẮNG'!$C$2:$C$1000)=2026)*(MONTH('LOG VẮNG'!$C$2:$C$1000)=2)*ISNUMBER(SEARCH($A124,'LOG VẮNG'!$D$2:$D$1000))))</f>
        <v/>
      </c>
      <c r="E124" s="40">
        <f>IF($B124="","",SUMPRODUCT(('LOG VẮNG'!$C$2:$C$1000&lt;&gt;"")*(YEAR('LOG VẮNG'!$C$2:$C$1000)=2026)*(MONTH('LOG VẮNG'!$C$2:$C$1000)=3)*ISNUMBER(SEARCH($A124,'LOG VẮNG'!$D$2:$D$1000))))</f>
        <v/>
      </c>
      <c r="F124" s="40">
        <f>IF($B124="","",SUMPRODUCT(('LOG VẮNG'!$C$2:$C$1000&lt;&gt;"")*(YEAR('LOG VẮNG'!$C$2:$C$1000)=2026)*(MONTH('LOG VẮNG'!$C$2:$C$1000)=4)*ISNUMBER(SEARCH($A124,'LOG VẮNG'!$D$2:$D$1000))))</f>
        <v/>
      </c>
      <c r="G124" s="40">
        <f>IF($B124="","",SUMPRODUCT(('LOG VẮNG'!$C$2:$C$1000&lt;&gt;"")*(YEAR('LOG VẮNG'!$C$2:$C$1000)=2026)*(MONTH('LOG VẮNG'!$C$2:$C$1000)=5)*ISNUMBER(SEARCH($A124,'LOG VẮNG'!$D$2:$D$1000))))</f>
        <v/>
      </c>
      <c r="H124" s="40">
        <f>IF($B124="","",SUMPRODUCT(('LOG VẮNG'!$C$2:$C$1000&lt;&gt;"")*(YEAR('LOG VẮNG'!$C$2:$C$1000)=2026)*(MONTH('LOG VẮNG'!$C$2:$C$1000)=6)*ISNUMBER(SEARCH($A124,'LOG VẮNG'!$D$2:$D$1000))))</f>
        <v/>
      </c>
      <c r="I124" s="40">
        <f>IF($B124="","",SUMPRODUCT(('LOG VẮNG'!$C$2:$C$1000&lt;&gt;"")*(YEAR('LOG VẮNG'!$C$2:$C$1000)=2026)*(MONTH('LOG VẮNG'!$C$2:$C$1000)=7)*ISNUMBER(SEARCH($A124,'LOG VẮNG'!$D$2:$D$1000))))</f>
        <v/>
      </c>
      <c r="J124" s="40">
        <f>IF($B124="","",SUMPRODUCT(('LOG VẮNG'!$C$2:$C$1000&lt;&gt;"")*(YEAR('LOG VẮNG'!$C$2:$C$1000)=2026)*(MONTH('LOG VẮNG'!$C$2:$C$1000)=8)*ISNUMBER(SEARCH($A124,'LOG VẮNG'!$D$2:$D$1000))))</f>
        <v/>
      </c>
      <c r="K124" s="40">
        <f>IF($B124="","",SUMPRODUCT(('LOG VẮNG'!$C$2:$C$1000&lt;&gt;"")*(YEAR('LOG VẮNG'!$C$2:$C$1000)=2026)*(MONTH('LOG VẮNG'!$C$2:$C$1000)=9)*ISNUMBER(SEARCH($A124,'LOG VẮNG'!$D$2:$D$1000))))</f>
        <v/>
      </c>
      <c r="L124" s="40">
        <f>IF($B124="","",SUMPRODUCT(('LOG VẮNG'!$C$2:$C$1000&lt;&gt;"")*(YEAR('LOG VẮNG'!$C$2:$C$1000)=2026)*(MONTH('LOG VẮNG'!$C$2:$C$1000)=10)*ISNUMBER(SEARCH($A124,'LOG VẮNG'!$D$2:$D$1000))))</f>
        <v/>
      </c>
      <c r="M124" s="40">
        <f>IF($B124="","",SUMPRODUCT(('LOG VẮNG'!$C$2:$C$1000&lt;&gt;"")*(YEAR('LOG VẮNG'!$C$2:$C$1000)=2026)*(MONTH('LOG VẮNG'!$C$2:$C$1000)=11)*ISNUMBER(SEARCH($A124,'LOG VẮNG'!$D$2:$D$1000))))</f>
        <v/>
      </c>
      <c r="N124" s="40">
        <f>IF($B124="","",SUMPRODUCT(('LOG VẮNG'!$C$2:$C$1000&lt;&gt;"")*(YEAR('LOG VẮNG'!$C$2:$C$1000)=2026)*(MONTH('LOG VẮNG'!$C$2:$C$1000)=12)*ISNUMBER(SEARCH($A124,'LOG VẮNG'!$D$2:$D$1000))))</f>
        <v/>
      </c>
      <c r="O124" s="40">
        <f>IF($B124="","",SUM(C124:N124))</f>
        <v/>
      </c>
    </row>
    <row r="125">
      <c r="A125" s="40" t="inlineStr">
        <is>
          <t>ORI123</t>
        </is>
      </c>
      <c r="B125" s="46">
        <f>IFERROR(INDEX('HỌC VIÊN'!$B$4:$B$203,MATCH($A125,'HỌC VIÊN'!$A$4:$A$203,0)),"")</f>
        <v/>
      </c>
      <c r="C125" s="40">
        <f>IF($B125="","",SUMPRODUCT(('LOG VẮNG'!$C$2:$C$1000&lt;&gt;"")*(YEAR('LOG VẮNG'!$C$2:$C$1000)=2026)*(MONTH('LOG VẮNG'!$C$2:$C$1000)=1)*ISNUMBER(SEARCH($A125,'LOG VẮNG'!$D$2:$D$1000))))</f>
        <v/>
      </c>
      <c r="D125" s="40">
        <f>IF($B125="","",SUMPRODUCT(('LOG VẮNG'!$C$2:$C$1000&lt;&gt;"")*(YEAR('LOG VẮNG'!$C$2:$C$1000)=2026)*(MONTH('LOG VẮNG'!$C$2:$C$1000)=2)*ISNUMBER(SEARCH($A125,'LOG VẮNG'!$D$2:$D$1000))))</f>
        <v/>
      </c>
      <c r="E125" s="40">
        <f>IF($B125="","",SUMPRODUCT(('LOG VẮNG'!$C$2:$C$1000&lt;&gt;"")*(YEAR('LOG VẮNG'!$C$2:$C$1000)=2026)*(MONTH('LOG VẮNG'!$C$2:$C$1000)=3)*ISNUMBER(SEARCH($A125,'LOG VẮNG'!$D$2:$D$1000))))</f>
        <v/>
      </c>
      <c r="F125" s="40">
        <f>IF($B125="","",SUMPRODUCT(('LOG VẮNG'!$C$2:$C$1000&lt;&gt;"")*(YEAR('LOG VẮNG'!$C$2:$C$1000)=2026)*(MONTH('LOG VẮNG'!$C$2:$C$1000)=4)*ISNUMBER(SEARCH($A125,'LOG VẮNG'!$D$2:$D$1000))))</f>
        <v/>
      </c>
      <c r="G125" s="40">
        <f>IF($B125="","",SUMPRODUCT(('LOG VẮNG'!$C$2:$C$1000&lt;&gt;"")*(YEAR('LOG VẮNG'!$C$2:$C$1000)=2026)*(MONTH('LOG VẮNG'!$C$2:$C$1000)=5)*ISNUMBER(SEARCH($A125,'LOG VẮNG'!$D$2:$D$1000))))</f>
        <v/>
      </c>
      <c r="H125" s="40">
        <f>IF($B125="","",SUMPRODUCT(('LOG VẮNG'!$C$2:$C$1000&lt;&gt;"")*(YEAR('LOG VẮNG'!$C$2:$C$1000)=2026)*(MONTH('LOG VẮNG'!$C$2:$C$1000)=6)*ISNUMBER(SEARCH($A125,'LOG VẮNG'!$D$2:$D$1000))))</f>
        <v/>
      </c>
      <c r="I125" s="40">
        <f>IF($B125="","",SUMPRODUCT(('LOG VẮNG'!$C$2:$C$1000&lt;&gt;"")*(YEAR('LOG VẮNG'!$C$2:$C$1000)=2026)*(MONTH('LOG VẮNG'!$C$2:$C$1000)=7)*ISNUMBER(SEARCH($A125,'LOG VẮNG'!$D$2:$D$1000))))</f>
        <v/>
      </c>
      <c r="J125" s="40">
        <f>IF($B125="","",SUMPRODUCT(('LOG VẮNG'!$C$2:$C$1000&lt;&gt;"")*(YEAR('LOG VẮNG'!$C$2:$C$1000)=2026)*(MONTH('LOG VẮNG'!$C$2:$C$1000)=8)*ISNUMBER(SEARCH($A125,'LOG VẮNG'!$D$2:$D$1000))))</f>
        <v/>
      </c>
      <c r="K125" s="40">
        <f>IF($B125="","",SUMPRODUCT(('LOG VẮNG'!$C$2:$C$1000&lt;&gt;"")*(YEAR('LOG VẮNG'!$C$2:$C$1000)=2026)*(MONTH('LOG VẮNG'!$C$2:$C$1000)=9)*ISNUMBER(SEARCH($A125,'LOG VẮNG'!$D$2:$D$1000))))</f>
        <v/>
      </c>
      <c r="L125" s="40">
        <f>IF($B125="","",SUMPRODUCT(('LOG VẮNG'!$C$2:$C$1000&lt;&gt;"")*(YEAR('LOG VẮNG'!$C$2:$C$1000)=2026)*(MONTH('LOG VẮNG'!$C$2:$C$1000)=10)*ISNUMBER(SEARCH($A125,'LOG VẮNG'!$D$2:$D$1000))))</f>
        <v/>
      </c>
      <c r="M125" s="40">
        <f>IF($B125="","",SUMPRODUCT(('LOG VẮNG'!$C$2:$C$1000&lt;&gt;"")*(YEAR('LOG VẮNG'!$C$2:$C$1000)=2026)*(MONTH('LOG VẮNG'!$C$2:$C$1000)=11)*ISNUMBER(SEARCH($A125,'LOG VẮNG'!$D$2:$D$1000))))</f>
        <v/>
      </c>
      <c r="N125" s="40">
        <f>IF($B125="","",SUMPRODUCT(('LOG VẮNG'!$C$2:$C$1000&lt;&gt;"")*(YEAR('LOG VẮNG'!$C$2:$C$1000)=2026)*(MONTH('LOG VẮNG'!$C$2:$C$1000)=12)*ISNUMBER(SEARCH($A125,'LOG VẮNG'!$D$2:$D$1000))))</f>
        <v/>
      </c>
      <c r="O125" s="40">
        <f>IF($B125="","",SUM(C125:N125))</f>
        <v/>
      </c>
    </row>
    <row r="126">
      <c r="A126" s="40" t="inlineStr">
        <is>
          <t>ORI124</t>
        </is>
      </c>
      <c r="B126" s="46">
        <f>IFERROR(INDEX('HỌC VIÊN'!$B$4:$B$203,MATCH($A126,'HỌC VIÊN'!$A$4:$A$203,0)),"")</f>
        <v/>
      </c>
      <c r="C126" s="40">
        <f>IF($B126="","",SUMPRODUCT(('LOG VẮNG'!$C$2:$C$1000&lt;&gt;"")*(YEAR('LOG VẮNG'!$C$2:$C$1000)=2026)*(MONTH('LOG VẮNG'!$C$2:$C$1000)=1)*ISNUMBER(SEARCH($A126,'LOG VẮNG'!$D$2:$D$1000))))</f>
        <v/>
      </c>
      <c r="D126" s="40">
        <f>IF($B126="","",SUMPRODUCT(('LOG VẮNG'!$C$2:$C$1000&lt;&gt;"")*(YEAR('LOG VẮNG'!$C$2:$C$1000)=2026)*(MONTH('LOG VẮNG'!$C$2:$C$1000)=2)*ISNUMBER(SEARCH($A126,'LOG VẮNG'!$D$2:$D$1000))))</f>
        <v/>
      </c>
      <c r="E126" s="40">
        <f>IF($B126="","",SUMPRODUCT(('LOG VẮNG'!$C$2:$C$1000&lt;&gt;"")*(YEAR('LOG VẮNG'!$C$2:$C$1000)=2026)*(MONTH('LOG VẮNG'!$C$2:$C$1000)=3)*ISNUMBER(SEARCH($A126,'LOG VẮNG'!$D$2:$D$1000))))</f>
        <v/>
      </c>
      <c r="F126" s="40">
        <f>IF($B126="","",SUMPRODUCT(('LOG VẮNG'!$C$2:$C$1000&lt;&gt;"")*(YEAR('LOG VẮNG'!$C$2:$C$1000)=2026)*(MONTH('LOG VẮNG'!$C$2:$C$1000)=4)*ISNUMBER(SEARCH($A126,'LOG VẮNG'!$D$2:$D$1000))))</f>
        <v/>
      </c>
      <c r="G126" s="40">
        <f>IF($B126="","",SUMPRODUCT(('LOG VẮNG'!$C$2:$C$1000&lt;&gt;"")*(YEAR('LOG VẮNG'!$C$2:$C$1000)=2026)*(MONTH('LOG VẮNG'!$C$2:$C$1000)=5)*ISNUMBER(SEARCH($A126,'LOG VẮNG'!$D$2:$D$1000))))</f>
        <v/>
      </c>
      <c r="H126" s="40">
        <f>IF($B126="","",SUMPRODUCT(('LOG VẮNG'!$C$2:$C$1000&lt;&gt;"")*(YEAR('LOG VẮNG'!$C$2:$C$1000)=2026)*(MONTH('LOG VẮNG'!$C$2:$C$1000)=6)*ISNUMBER(SEARCH($A126,'LOG VẮNG'!$D$2:$D$1000))))</f>
        <v/>
      </c>
      <c r="I126" s="40">
        <f>IF($B126="","",SUMPRODUCT(('LOG VẮNG'!$C$2:$C$1000&lt;&gt;"")*(YEAR('LOG VẮNG'!$C$2:$C$1000)=2026)*(MONTH('LOG VẮNG'!$C$2:$C$1000)=7)*ISNUMBER(SEARCH($A126,'LOG VẮNG'!$D$2:$D$1000))))</f>
        <v/>
      </c>
      <c r="J126" s="40">
        <f>IF($B126="","",SUMPRODUCT(('LOG VẮNG'!$C$2:$C$1000&lt;&gt;"")*(YEAR('LOG VẮNG'!$C$2:$C$1000)=2026)*(MONTH('LOG VẮNG'!$C$2:$C$1000)=8)*ISNUMBER(SEARCH($A126,'LOG VẮNG'!$D$2:$D$1000))))</f>
        <v/>
      </c>
      <c r="K126" s="40">
        <f>IF($B126="","",SUMPRODUCT(('LOG VẮNG'!$C$2:$C$1000&lt;&gt;"")*(YEAR('LOG VẮNG'!$C$2:$C$1000)=2026)*(MONTH('LOG VẮNG'!$C$2:$C$1000)=9)*ISNUMBER(SEARCH($A126,'LOG VẮNG'!$D$2:$D$1000))))</f>
        <v/>
      </c>
      <c r="L126" s="40">
        <f>IF($B126="","",SUMPRODUCT(('LOG VẮNG'!$C$2:$C$1000&lt;&gt;"")*(YEAR('LOG VẮNG'!$C$2:$C$1000)=2026)*(MONTH('LOG VẮNG'!$C$2:$C$1000)=10)*ISNUMBER(SEARCH($A126,'LOG VẮNG'!$D$2:$D$1000))))</f>
        <v/>
      </c>
      <c r="M126" s="40">
        <f>IF($B126="","",SUMPRODUCT(('LOG VẮNG'!$C$2:$C$1000&lt;&gt;"")*(YEAR('LOG VẮNG'!$C$2:$C$1000)=2026)*(MONTH('LOG VẮNG'!$C$2:$C$1000)=11)*ISNUMBER(SEARCH($A126,'LOG VẮNG'!$D$2:$D$1000))))</f>
        <v/>
      </c>
      <c r="N126" s="40">
        <f>IF($B126="","",SUMPRODUCT(('LOG VẮNG'!$C$2:$C$1000&lt;&gt;"")*(YEAR('LOG VẮNG'!$C$2:$C$1000)=2026)*(MONTH('LOG VẮNG'!$C$2:$C$1000)=12)*ISNUMBER(SEARCH($A126,'LOG VẮNG'!$D$2:$D$1000))))</f>
        <v/>
      </c>
      <c r="O126" s="40">
        <f>IF($B126="","",SUM(C126:N126))</f>
        <v/>
      </c>
    </row>
    <row r="127">
      <c r="A127" s="40" t="inlineStr">
        <is>
          <t>ORI125</t>
        </is>
      </c>
      <c r="B127" s="46">
        <f>IFERROR(INDEX('HỌC VIÊN'!$B$4:$B$203,MATCH($A127,'HỌC VIÊN'!$A$4:$A$203,0)),"")</f>
        <v/>
      </c>
      <c r="C127" s="40">
        <f>IF($B127="","",SUMPRODUCT(('LOG VẮNG'!$C$2:$C$1000&lt;&gt;"")*(YEAR('LOG VẮNG'!$C$2:$C$1000)=2026)*(MONTH('LOG VẮNG'!$C$2:$C$1000)=1)*ISNUMBER(SEARCH($A127,'LOG VẮNG'!$D$2:$D$1000))))</f>
        <v/>
      </c>
      <c r="D127" s="40">
        <f>IF($B127="","",SUMPRODUCT(('LOG VẮNG'!$C$2:$C$1000&lt;&gt;"")*(YEAR('LOG VẮNG'!$C$2:$C$1000)=2026)*(MONTH('LOG VẮNG'!$C$2:$C$1000)=2)*ISNUMBER(SEARCH($A127,'LOG VẮNG'!$D$2:$D$1000))))</f>
        <v/>
      </c>
      <c r="E127" s="40">
        <f>IF($B127="","",SUMPRODUCT(('LOG VẮNG'!$C$2:$C$1000&lt;&gt;"")*(YEAR('LOG VẮNG'!$C$2:$C$1000)=2026)*(MONTH('LOG VẮNG'!$C$2:$C$1000)=3)*ISNUMBER(SEARCH($A127,'LOG VẮNG'!$D$2:$D$1000))))</f>
        <v/>
      </c>
      <c r="F127" s="40">
        <f>IF($B127="","",SUMPRODUCT(('LOG VẮNG'!$C$2:$C$1000&lt;&gt;"")*(YEAR('LOG VẮNG'!$C$2:$C$1000)=2026)*(MONTH('LOG VẮNG'!$C$2:$C$1000)=4)*ISNUMBER(SEARCH($A127,'LOG VẮNG'!$D$2:$D$1000))))</f>
        <v/>
      </c>
      <c r="G127" s="40">
        <f>IF($B127="","",SUMPRODUCT(('LOG VẮNG'!$C$2:$C$1000&lt;&gt;"")*(YEAR('LOG VẮNG'!$C$2:$C$1000)=2026)*(MONTH('LOG VẮNG'!$C$2:$C$1000)=5)*ISNUMBER(SEARCH($A127,'LOG VẮNG'!$D$2:$D$1000))))</f>
        <v/>
      </c>
      <c r="H127" s="40">
        <f>IF($B127="","",SUMPRODUCT(('LOG VẮNG'!$C$2:$C$1000&lt;&gt;"")*(YEAR('LOG VẮNG'!$C$2:$C$1000)=2026)*(MONTH('LOG VẮNG'!$C$2:$C$1000)=6)*ISNUMBER(SEARCH($A127,'LOG VẮNG'!$D$2:$D$1000))))</f>
        <v/>
      </c>
      <c r="I127" s="40">
        <f>IF($B127="","",SUMPRODUCT(('LOG VẮNG'!$C$2:$C$1000&lt;&gt;"")*(YEAR('LOG VẮNG'!$C$2:$C$1000)=2026)*(MONTH('LOG VẮNG'!$C$2:$C$1000)=7)*ISNUMBER(SEARCH($A127,'LOG VẮNG'!$D$2:$D$1000))))</f>
        <v/>
      </c>
      <c r="J127" s="40">
        <f>IF($B127="","",SUMPRODUCT(('LOG VẮNG'!$C$2:$C$1000&lt;&gt;"")*(YEAR('LOG VẮNG'!$C$2:$C$1000)=2026)*(MONTH('LOG VẮNG'!$C$2:$C$1000)=8)*ISNUMBER(SEARCH($A127,'LOG VẮNG'!$D$2:$D$1000))))</f>
        <v/>
      </c>
      <c r="K127" s="40">
        <f>IF($B127="","",SUMPRODUCT(('LOG VẮNG'!$C$2:$C$1000&lt;&gt;"")*(YEAR('LOG VẮNG'!$C$2:$C$1000)=2026)*(MONTH('LOG VẮNG'!$C$2:$C$1000)=9)*ISNUMBER(SEARCH($A127,'LOG VẮNG'!$D$2:$D$1000))))</f>
        <v/>
      </c>
      <c r="L127" s="40">
        <f>IF($B127="","",SUMPRODUCT(('LOG VẮNG'!$C$2:$C$1000&lt;&gt;"")*(YEAR('LOG VẮNG'!$C$2:$C$1000)=2026)*(MONTH('LOG VẮNG'!$C$2:$C$1000)=10)*ISNUMBER(SEARCH($A127,'LOG VẮNG'!$D$2:$D$1000))))</f>
        <v/>
      </c>
      <c r="M127" s="40">
        <f>IF($B127="","",SUMPRODUCT(('LOG VẮNG'!$C$2:$C$1000&lt;&gt;"")*(YEAR('LOG VẮNG'!$C$2:$C$1000)=2026)*(MONTH('LOG VẮNG'!$C$2:$C$1000)=11)*ISNUMBER(SEARCH($A127,'LOG VẮNG'!$D$2:$D$1000))))</f>
        <v/>
      </c>
      <c r="N127" s="40">
        <f>IF($B127="","",SUMPRODUCT(('LOG VẮNG'!$C$2:$C$1000&lt;&gt;"")*(YEAR('LOG VẮNG'!$C$2:$C$1000)=2026)*(MONTH('LOG VẮNG'!$C$2:$C$1000)=12)*ISNUMBER(SEARCH($A127,'LOG VẮNG'!$D$2:$D$1000))))</f>
        <v/>
      </c>
      <c r="O127" s="40">
        <f>IF($B127="","",SUM(C127:N127))</f>
        <v/>
      </c>
    </row>
    <row r="128">
      <c r="A128" s="40" t="inlineStr">
        <is>
          <t>ORI126</t>
        </is>
      </c>
      <c r="B128" s="46">
        <f>IFERROR(INDEX('HỌC VIÊN'!$B$4:$B$203,MATCH($A128,'HỌC VIÊN'!$A$4:$A$203,0)),"")</f>
        <v/>
      </c>
      <c r="C128" s="40">
        <f>IF($B128="","",SUMPRODUCT(('LOG VẮNG'!$C$2:$C$1000&lt;&gt;"")*(YEAR('LOG VẮNG'!$C$2:$C$1000)=2026)*(MONTH('LOG VẮNG'!$C$2:$C$1000)=1)*ISNUMBER(SEARCH($A128,'LOG VẮNG'!$D$2:$D$1000))))</f>
        <v/>
      </c>
      <c r="D128" s="40">
        <f>IF($B128="","",SUMPRODUCT(('LOG VẮNG'!$C$2:$C$1000&lt;&gt;"")*(YEAR('LOG VẮNG'!$C$2:$C$1000)=2026)*(MONTH('LOG VẮNG'!$C$2:$C$1000)=2)*ISNUMBER(SEARCH($A128,'LOG VẮNG'!$D$2:$D$1000))))</f>
        <v/>
      </c>
      <c r="E128" s="40">
        <f>IF($B128="","",SUMPRODUCT(('LOG VẮNG'!$C$2:$C$1000&lt;&gt;"")*(YEAR('LOG VẮNG'!$C$2:$C$1000)=2026)*(MONTH('LOG VẮNG'!$C$2:$C$1000)=3)*ISNUMBER(SEARCH($A128,'LOG VẮNG'!$D$2:$D$1000))))</f>
        <v/>
      </c>
      <c r="F128" s="40">
        <f>IF($B128="","",SUMPRODUCT(('LOG VẮNG'!$C$2:$C$1000&lt;&gt;"")*(YEAR('LOG VẮNG'!$C$2:$C$1000)=2026)*(MONTH('LOG VẮNG'!$C$2:$C$1000)=4)*ISNUMBER(SEARCH($A128,'LOG VẮNG'!$D$2:$D$1000))))</f>
        <v/>
      </c>
      <c r="G128" s="40">
        <f>IF($B128="","",SUMPRODUCT(('LOG VẮNG'!$C$2:$C$1000&lt;&gt;"")*(YEAR('LOG VẮNG'!$C$2:$C$1000)=2026)*(MONTH('LOG VẮNG'!$C$2:$C$1000)=5)*ISNUMBER(SEARCH($A128,'LOG VẮNG'!$D$2:$D$1000))))</f>
        <v/>
      </c>
      <c r="H128" s="40">
        <f>IF($B128="","",SUMPRODUCT(('LOG VẮNG'!$C$2:$C$1000&lt;&gt;"")*(YEAR('LOG VẮNG'!$C$2:$C$1000)=2026)*(MONTH('LOG VẮNG'!$C$2:$C$1000)=6)*ISNUMBER(SEARCH($A128,'LOG VẮNG'!$D$2:$D$1000))))</f>
        <v/>
      </c>
      <c r="I128" s="40">
        <f>IF($B128="","",SUMPRODUCT(('LOG VẮNG'!$C$2:$C$1000&lt;&gt;"")*(YEAR('LOG VẮNG'!$C$2:$C$1000)=2026)*(MONTH('LOG VẮNG'!$C$2:$C$1000)=7)*ISNUMBER(SEARCH($A128,'LOG VẮNG'!$D$2:$D$1000))))</f>
        <v/>
      </c>
      <c r="J128" s="40">
        <f>IF($B128="","",SUMPRODUCT(('LOG VẮNG'!$C$2:$C$1000&lt;&gt;"")*(YEAR('LOG VẮNG'!$C$2:$C$1000)=2026)*(MONTH('LOG VẮNG'!$C$2:$C$1000)=8)*ISNUMBER(SEARCH($A128,'LOG VẮNG'!$D$2:$D$1000))))</f>
        <v/>
      </c>
      <c r="K128" s="40">
        <f>IF($B128="","",SUMPRODUCT(('LOG VẮNG'!$C$2:$C$1000&lt;&gt;"")*(YEAR('LOG VẮNG'!$C$2:$C$1000)=2026)*(MONTH('LOG VẮNG'!$C$2:$C$1000)=9)*ISNUMBER(SEARCH($A128,'LOG VẮNG'!$D$2:$D$1000))))</f>
        <v/>
      </c>
      <c r="L128" s="40">
        <f>IF($B128="","",SUMPRODUCT(('LOG VẮNG'!$C$2:$C$1000&lt;&gt;"")*(YEAR('LOG VẮNG'!$C$2:$C$1000)=2026)*(MONTH('LOG VẮNG'!$C$2:$C$1000)=10)*ISNUMBER(SEARCH($A128,'LOG VẮNG'!$D$2:$D$1000))))</f>
        <v/>
      </c>
      <c r="M128" s="40">
        <f>IF($B128="","",SUMPRODUCT(('LOG VẮNG'!$C$2:$C$1000&lt;&gt;"")*(YEAR('LOG VẮNG'!$C$2:$C$1000)=2026)*(MONTH('LOG VẮNG'!$C$2:$C$1000)=11)*ISNUMBER(SEARCH($A128,'LOG VẮNG'!$D$2:$D$1000))))</f>
        <v/>
      </c>
      <c r="N128" s="40">
        <f>IF($B128="","",SUMPRODUCT(('LOG VẮNG'!$C$2:$C$1000&lt;&gt;"")*(YEAR('LOG VẮNG'!$C$2:$C$1000)=2026)*(MONTH('LOG VẮNG'!$C$2:$C$1000)=12)*ISNUMBER(SEARCH($A128,'LOG VẮNG'!$D$2:$D$1000))))</f>
        <v/>
      </c>
      <c r="O128" s="40">
        <f>IF($B128="","",SUM(C128:N128))</f>
        <v/>
      </c>
    </row>
    <row r="129">
      <c r="A129" s="40" t="inlineStr">
        <is>
          <t>ORI127</t>
        </is>
      </c>
      <c r="B129" s="46">
        <f>IFERROR(INDEX('HỌC VIÊN'!$B$4:$B$203,MATCH($A129,'HỌC VIÊN'!$A$4:$A$203,0)),"")</f>
        <v/>
      </c>
      <c r="C129" s="40">
        <f>IF($B129="","",SUMPRODUCT(('LOG VẮNG'!$C$2:$C$1000&lt;&gt;"")*(YEAR('LOG VẮNG'!$C$2:$C$1000)=2026)*(MONTH('LOG VẮNG'!$C$2:$C$1000)=1)*ISNUMBER(SEARCH($A129,'LOG VẮNG'!$D$2:$D$1000))))</f>
        <v/>
      </c>
      <c r="D129" s="40">
        <f>IF($B129="","",SUMPRODUCT(('LOG VẮNG'!$C$2:$C$1000&lt;&gt;"")*(YEAR('LOG VẮNG'!$C$2:$C$1000)=2026)*(MONTH('LOG VẮNG'!$C$2:$C$1000)=2)*ISNUMBER(SEARCH($A129,'LOG VẮNG'!$D$2:$D$1000))))</f>
        <v/>
      </c>
      <c r="E129" s="40">
        <f>IF($B129="","",SUMPRODUCT(('LOG VẮNG'!$C$2:$C$1000&lt;&gt;"")*(YEAR('LOG VẮNG'!$C$2:$C$1000)=2026)*(MONTH('LOG VẮNG'!$C$2:$C$1000)=3)*ISNUMBER(SEARCH($A129,'LOG VẮNG'!$D$2:$D$1000))))</f>
        <v/>
      </c>
      <c r="F129" s="40">
        <f>IF($B129="","",SUMPRODUCT(('LOG VẮNG'!$C$2:$C$1000&lt;&gt;"")*(YEAR('LOG VẮNG'!$C$2:$C$1000)=2026)*(MONTH('LOG VẮNG'!$C$2:$C$1000)=4)*ISNUMBER(SEARCH($A129,'LOG VẮNG'!$D$2:$D$1000))))</f>
        <v/>
      </c>
      <c r="G129" s="40">
        <f>IF($B129="","",SUMPRODUCT(('LOG VẮNG'!$C$2:$C$1000&lt;&gt;"")*(YEAR('LOG VẮNG'!$C$2:$C$1000)=2026)*(MONTH('LOG VẮNG'!$C$2:$C$1000)=5)*ISNUMBER(SEARCH($A129,'LOG VẮNG'!$D$2:$D$1000))))</f>
        <v/>
      </c>
      <c r="H129" s="40">
        <f>IF($B129="","",SUMPRODUCT(('LOG VẮNG'!$C$2:$C$1000&lt;&gt;"")*(YEAR('LOG VẮNG'!$C$2:$C$1000)=2026)*(MONTH('LOG VẮNG'!$C$2:$C$1000)=6)*ISNUMBER(SEARCH($A129,'LOG VẮNG'!$D$2:$D$1000))))</f>
        <v/>
      </c>
      <c r="I129" s="40">
        <f>IF($B129="","",SUMPRODUCT(('LOG VẮNG'!$C$2:$C$1000&lt;&gt;"")*(YEAR('LOG VẮNG'!$C$2:$C$1000)=2026)*(MONTH('LOG VẮNG'!$C$2:$C$1000)=7)*ISNUMBER(SEARCH($A129,'LOG VẮNG'!$D$2:$D$1000))))</f>
        <v/>
      </c>
      <c r="J129" s="40">
        <f>IF($B129="","",SUMPRODUCT(('LOG VẮNG'!$C$2:$C$1000&lt;&gt;"")*(YEAR('LOG VẮNG'!$C$2:$C$1000)=2026)*(MONTH('LOG VẮNG'!$C$2:$C$1000)=8)*ISNUMBER(SEARCH($A129,'LOG VẮNG'!$D$2:$D$1000))))</f>
        <v/>
      </c>
      <c r="K129" s="40">
        <f>IF($B129="","",SUMPRODUCT(('LOG VẮNG'!$C$2:$C$1000&lt;&gt;"")*(YEAR('LOG VẮNG'!$C$2:$C$1000)=2026)*(MONTH('LOG VẮNG'!$C$2:$C$1000)=9)*ISNUMBER(SEARCH($A129,'LOG VẮNG'!$D$2:$D$1000))))</f>
        <v/>
      </c>
      <c r="L129" s="40">
        <f>IF($B129="","",SUMPRODUCT(('LOG VẮNG'!$C$2:$C$1000&lt;&gt;"")*(YEAR('LOG VẮNG'!$C$2:$C$1000)=2026)*(MONTH('LOG VẮNG'!$C$2:$C$1000)=10)*ISNUMBER(SEARCH($A129,'LOG VẮNG'!$D$2:$D$1000))))</f>
        <v/>
      </c>
      <c r="M129" s="40">
        <f>IF($B129="","",SUMPRODUCT(('LOG VẮNG'!$C$2:$C$1000&lt;&gt;"")*(YEAR('LOG VẮNG'!$C$2:$C$1000)=2026)*(MONTH('LOG VẮNG'!$C$2:$C$1000)=11)*ISNUMBER(SEARCH($A129,'LOG VẮNG'!$D$2:$D$1000))))</f>
        <v/>
      </c>
      <c r="N129" s="40">
        <f>IF($B129="","",SUMPRODUCT(('LOG VẮNG'!$C$2:$C$1000&lt;&gt;"")*(YEAR('LOG VẮNG'!$C$2:$C$1000)=2026)*(MONTH('LOG VẮNG'!$C$2:$C$1000)=12)*ISNUMBER(SEARCH($A129,'LOG VẮNG'!$D$2:$D$1000))))</f>
        <v/>
      </c>
      <c r="O129" s="40">
        <f>IF($B129="","",SUM(C129:N129))</f>
        <v/>
      </c>
    </row>
    <row r="130">
      <c r="A130" s="40" t="inlineStr">
        <is>
          <t>ORI128</t>
        </is>
      </c>
      <c r="B130" s="46">
        <f>IFERROR(INDEX('HỌC VIÊN'!$B$4:$B$203,MATCH($A130,'HỌC VIÊN'!$A$4:$A$203,0)),"")</f>
        <v/>
      </c>
      <c r="C130" s="40">
        <f>IF($B130="","",SUMPRODUCT(('LOG VẮNG'!$C$2:$C$1000&lt;&gt;"")*(YEAR('LOG VẮNG'!$C$2:$C$1000)=2026)*(MONTH('LOG VẮNG'!$C$2:$C$1000)=1)*ISNUMBER(SEARCH($A130,'LOG VẮNG'!$D$2:$D$1000))))</f>
        <v/>
      </c>
      <c r="D130" s="40">
        <f>IF($B130="","",SUMPRODUCT(('LOG VẮNG'!$C$2:$C$1000&lt;&gt;"")*(YEAR('LOG VẮNG'!$C$2:$C$1000)=2026)*(MONTH('LOG VẮNG'!$C$2:$C$1000)=2)*ISNUMBER(SEARCH($A130,'LOG VẮNG'!$D$2:$D$1000))))</f>
        <v/>
      </c>
      <c r="E130" s="40">
        <f>IF($B130="","",SUMPRODUCT(('LOG VẮNG'!$C$2:$C$1000&lt;&gt;"")*(YEAR('LOG VẮNG'!$C$2:$C$1000)=2026)*(MONTH('LOG VẮNG'!$C$2:$C$1000)=3)*ISNUMBER(SEARCH($A130,'LOG VẮNG'!$D$2:$D$1000))))</f>
        <v/>
      </c>
      <c r="F130" s="40">
        <f>IF($B130="","",SUMPRODUCT(('LOG VẮNG'!$C$2:$C$1000&lt;&gt;"")*(YEAR('LOG VẮNG'!$C$2:$C$1000)=2026)*(MONTH('LOG VẮNG'!$C$2:$C$1000)=4)*ISNUMBER(SEARCH($A130,'LOG VẮNG'!$D$2:$D$1000))))</f>
        <v/>
      </c>
      <c r="G130" s="40">
        <f>IF($B130="","",SUMPRODUCT(('LOG VẮNG'!$C$2:$C$1000&lt;&gt;"")*(YEAR('LOG VẮNG'!$C$2:$C$1000)=2026)*(MONTH('LOG VẮNG'!$C$2:$C$1000)=5)*ISNUMBER(SEARCH($A130,'LOG VẮNG'!$D$2:$D$1000))))</f>
        <v/>
      </c>
      <c r="H130" s="40">
        <f>IF($B130="","",SUMPRODUCT(('LOG VẮNG'!$C$2:$C$1000&lt;&gt;"")*(YEAR('LOG VẮNG'!$C$2:$C$1000)=2026)*(MONTH('LOG VẮNG'!$C$2:$C$1000)=6)*ISNUMBER(SEARCH($A130,'LOG VẮNG'!$D$2:$D$1000))))</f>
        <v/>
      </c>
      <c r="I130" s="40">
        <f>IF($B130="","",SUMPRODUCT(('LOG VẮNG'!$C$2:$C$1000&lt;&gt;"")*(YEAR('LOG VẮNG'!$C$2:$C$1000)=2026)*(MONTH('LOG VẮNG'!$C$2:$C$1000)=7)*ISNUMBER(SEARCH($A130,'LOG VẮNG'!$D$2:$D$1000))))</f>
        <v/>
      </c>
      <c r="J130" s="40">
        <f>IF($B130="","",SUMPRODUCT(('LOG VẮNG'!$C$2:$C$1000&lt;&gt;"")*(YEAR('LOG VẮNG'!$C$2:$C$1000)=2026)*(MONTH('LOG VẮNG'!$C$2:$C$1000)=8)*ISNUMBER(SEARCH($A130,'LOG VẮNG'!$D$2:$D$1000))))</f>
        <v/>
      </c>
      <c r="K130" s="40">
        <f>IF($B130="","",SUMPRODUCT(('LOG VẮNG'!$C$2:$C$1000&lt;&gt;"")*(YEAR('LOG VẮNG'!$C$2:$C$1000)=2026)*(MONTH('LOG VẮNG'!$C$2:$C$1000)=9)*ISNUMBER(SEARCH($A130,'LOG VẮNG'!$D$2:$D$1000))))</f>
        <v/>
      </c>
      <c r="L130" s="40">
        <f>IF($B130="","",SUMPRODUCT(('LOG VẮNG'!$C$2:$C$1000&lt;&gt;"")*(YEAR('LOG VẮNG'!$C$2:$C$1000)=2026)*(MONTH('LOG VẮNG'!$C$2:$C$1000)=10)*ISNUMBER(SEARCH($A130,'LOG VẮNG'!$D$2:$D$1000))))</f>
        <v/>
      </c>
      <c r="M130" s="40">
        <f>IF($B130="","",SUMPRODUCT(('LOG VẮNG'!$C$2:$C$1000&lt;&gt;"")*(YEAR('LOG VẮNG'!$C$2:$C$1000)=2026)*(MONTH('LOG VẮNG'!$C$2:$C$1000)=11)*ISNUMBER(SEARCH($A130,'LOG VẮNG'!$D$2:$D$1000))))</f>
        <v/>
      </c>
      <c r="N130" s="40">
        <f>IF($B130="","",SUMPRODUCT(('LOG VẮNG'!$C$2:$C$1000&lt;&gt;"")*(YEAR('LOG VẮNG'!$C$2:$C$1000)=2026)*(MONTH('LOG VẮNG'!$C$2:$C$1000)=12)*ISNUMBER(SEARCH($A130,'LOG VẮNG'!$D$2:$D$1000))))</f>
        <v/>
      </c>
      <c r="O130" s="40">
        <f>IF($B130="","",SUM(C130:N130))</f>
        <v/>
      </c>
    </row>
    <row r="131">
      <c r="A131" s="40" t="inlineStr">
        <is>
          <t>ORI129</t>
        </is>
      </c>
      <c r="B131" s="46">
        <f>IFERROR(INDEX('HỌC VIÊN'!$B$4:$B$203,MATCH($A131,'HỌC VIÊN'!$A$4:$A$203,0)),"")</f>
        <v/>
      </c>
      <c r="C131" s="40">
        <f>IF($B131="","",SUMPRODUCT(('LOG VẮNG'!$C$2:$C$1000&lt;&gt;"")*(YEAR('LOG VẮNG'!$C$2:$C$1000)=2026)*(MONTH('LOG VẮNG'!$C$2:$C$1000)=1)*ISNUMBER(SEARCH($A131,'LOG VẮNG'!$D$2:$D$1000))))</f>
        <v/>
      </c>
      <c r="D131" s="40">
        <f>IF($B131="","",SUMPRODUCT(('LOG VẮNG'!$C$2:$C$1000&lt;&gt;"")*(YEAR('LOG VẮNG'!$C$2:$C$1000)=2026)*(MONTH('LOG VẮNG'!$C$2:$C$1000)=2)*ISNUMBER(SEARCH($A131,'LOG VẮNG'!$D$2:$D$1000))))</f>
        <v/>
      </c>
      <c r="E131" s="40">
        <f>IF($B131="","",SUMPRODUCT(('LOG VẮNG'!$C$2:$C$1000&lt;&gt;"")*(YEAR('LOG VẮNG'!$C$2:$C$1000)=2026)*(MONTH('LOG VẮNG'!$C$2:$C$1000)=3)*ISNUMBER(SEARCH($A131,'LOG VẮNG'!$D$2:$D$1000))))</f>
        <v/>
      </c>
      <c r="F131" s="40">
        <f>IF($B131="","",SUMPRODUCT(('LOG VẮNG'!$C$2:$C$1000&lt;&gt;"")*(YEAR('LOG VẮNG'!$C$2:$C$1000)=2026)*(MONTH('LOG VẮNG'!$C$2:$C$1000)=4)*ISNUMBER(SEARCH($A131,'LOG VẮNG'!$D$2:$D$1000))))</f>
        <v/>
      </c>
      <c r="G131" s="40">
        <f>IF($B131="","",SUMPRODUCT(('LOG VẮNG'!$C$2:$C$1000&lt;&gt;"")*(YEAR('LOG VẮNG'!$C$2:$C$1000)=2026)*(MONTH('LOG VẮNG'!$C$2:$C$1000)=5)*ISNUMBER(SEARCH($A131,'LOG VẮNG'!$D$2:$D$1000))))</f>
        <v/>
      </c>
      <c r="H131" s="40">
        <f>IF($B131="","",SUMPRODUCT(('LOG VẮNG'!$C$2:$C$1000&lt;&gt;"")*(YEAR('LOG VẮNG'!$C$2:$C$1000)=2026)*(MONTH('LOG VẮNG'!$C$2:$C$1000)=6)*ISNUMBER(SEARCH($A131,'LOG VẮNG'!$D$2:$D$1000))))</f>
        <v/>
      </c>
      <c r="I131" s="40">
        <f>IF($B131="","",SUMPRODUCT(('LOG VẮNG'!$C$2:$C$1000&lt;&gt;"")*(YEAR('LOG VẮNG'!$C$2:$C$1000)=2026)*(MONTH('LOG VẮNG'!$C$2:$C$1000)=7)*ISNUMBER(SEARCH($A131,'LOG VẮNG'!$D$2:$D$1000))))</f>
        <v/>
      </c>
      <c r="J131" s="40">
        <f>IF($B131="","",SUMPRODUCT(('LOG VẮNG'!$C$2:$C$1000&lt;&gt;"")*(YEAR('LOG VẮNG'!$C$2:$C$1000)=2026)*(MONTH('LOG VẮNG'!$C$2:$C$1000)=8)*ISNUMBER(SEARCH($A131,'LOG VẮNG'!$D$2:$D$1000))))</f>
        <v/>
      </c>
      <c r="K131" s="40">
        <f>IF($B131="","",SUMPRODUCT(('LOG VẮNG'!$C$2:$C$1000&lt;&gt;"")*(YEAR('LOG VẮNG'!$C$2:$C$1000)=2026)*(MONTH('LOG VẮNG'!$C$2:$C$1000)=9)*ISNUMBER(SEARCH($A131,'LOG VẮNG'!$D$2:$D$1000))))</f>
        <v/>
      </c>
      <c r="L131" s="40">
        <f>IF($B131="","",SUMPRODUCT(('LOG VẮNG'!$C$2:$C$1000&lt;&gt;"")*(YEAR('LOG VẮNG'!$C$2:$C$1000)=2026)*(MONTH('LOG VẮNG'!$C$2:$C$1000)=10)*ISNUMBER(SEARCH($A131,'LOG VẮNG'!$D$2:$D$1000))))</f>
        <v/>
      </c>
      <c r="M131" s="40">
        <f>IF($B131="","",SUMPRODUCT(('LOG VẮNG'!$C$2:$C$1000&lt;&gt;"")*(YEAR('LOG VẮNG'!$C$2:$C$1000)=2026)*(MONTH('LOG VẮNG'!$C$2:$C$1000)=11)*ISNUMBER(SEARCH($A131,'LOG VẮNG'!$D$2:$D$1000))))</f>
        <v/>
      </c>
      <c r="N131" s="40">
        <f>IF($B131="","",SUMPRODUCT(('LOG VẮNG'!$C$2:$C$1000&lt;&gt;"")*(YEAR('LOG VẮNG'!$C$2:$C$1000)=2026)*(MONTH('LOG VẮNG'!$C$2:$C$1000)=12)*ISNUMBER(SEARCH($A131,'LOG VẮNG'!$D$2:$D$1000))))</f>
        <v/>
      </c>
      <c r="O131" s="40">
        <f>IF($B131="","",SUM(C131:N131))</f>
        <v/>
      </c>
    </row>
    <row r="132">
      <c r="A132" s="40" t="inlineStr">
        <is>
          <t>ORI130</t>
        </is>
      </c>
      <c r="B132" s="46">
        <f>IFERROR(INDEX('HỌC VIÊN'!$B$4:$B$203,MATCH($A132,'HỌC VIÊN'!$A$4:$A$203,0)),"")</f>
        <v/>
      </c>
      <c r="C132" s="40">
        <f>IF($B132="","",SUMPRODUCT(('LOG VẮNG'!$C$2:$C$1000&lt;&gt;"")*(YEAR('LOG VẮNG'!$C$2:$C$1000)=2026)*(MONTH('LOG VẮNG'!$C$2:$C$1000)=1)*ISNUMBER(SEARCH($A132,'LOG VẮNG'!$D$2:$D$1000))))</f>
        <v/>
      </c>
      <c r="D132" s="40">
        <f>IF($B132="","",SUMPRODUCT(('LOG VẮNG'!$C$2:$C$1000&lt;&gt;"")*(YEAR('LOG VẮNG'!$C$2:$C$1000)=2026)*(MONTH('LOG VẮNG'!$C$2:$C$1000)=2)*ISNUMBER(SEARCH($A132,'LOG VẮNG'!$D$2:$D$1000))))</f>
        <v/>
      </c>
      <c r="E132" s="40">
        <f>IF($B132="","",SUMPRODUCT(('LOG VẮNG'!$C$2:$C$1000&lt;&gt;"")*(YEAR('LOG VẮNG'!$C$2:$C$1000)=2026)*(MONTH('LOG VẮNG'!$C$2:$C$1000)=3)*ISNUMBER(SEARCH($A132,'LOG VẮNG'!$D$2:$D$1000))))</f>
        <v/>
      </c>
      <c r="F132" s="40">
        <f>IF($B132="","",SUMPRODUCT(('LOG VẮNG'!$C$2:$C$1000&lt;&gt;"")*(YEAR('LOG VẮNG'!$C$2:$C$1000)=2026)*(MONTH('LOG VẮNG'!$C$2:$C$1000)=4)*ISNUMBER(SEARCH($A132,'LOG VẮNG'!$D$2:$D$1000))))</f>
        <v/>
      </c>
      <c r="G132" s="40">
        <f>IF($B132="","",SUMPRODUCT(('LOG VẮNG'!$C$2:$C$1000&lt;&gt;"")*(YEAR('LOG VẮNG'!$C$2:$C$1000)=2026)*(MONTH('LOG VẮNG'!$C$2:$C$1000)=5)*ISNUMBER(SEARCH($A132,'LOG VẮNG'!$D$2:$D$1000))))</f>
        <v/>
      </c>
      <c r="H132" s="40">
        <f>IF($B132="","",SUMPRODUCT(('LOG VẮNG'!$C$2:$C$1000&lt;&gt;"")*(YEAR('LOG VẮNG'!$C$2:$C$1000)=2026)*(MONTH('LOG VẮNG'!$C$2:$C$1000)=6)*ISNUMBER(SEARCH($A132,'LOG VẮNG'!$D$2:$D$1000))))</f>
        <v/>
      </c>
      <c r="I132" s="40">
        <f>IF($B132="","",SUMPRODUCT(('LOG VẮNG'!$C$2:$C$1000&lt;&gt;"")*(YEAR('LOG VẮNG'!$C$2:$C$1000)=2026)*(MONTH('LOG VẮNG'!$C$2:$C$1000)=7)*ISNUMBER(SEARCH($A132,'LOG VẮNG'!$D$2:$D$1000))))</f>
        <v/>
      </c>
      <c r="J132" s="40">
        <f>IF($B132="","",SUMPRODUCT(('LOG VẮNG'!$C$2:$C$1000&lt;&gt;"")*(YEAR('LOG VẮNG'!$C$2:$C$1000)=2026)*(MONTH('LOG VẮNG'!$C$2:$C$1000)=8)*ISNUMBER(SEARCH($A132,'LOG VẮNG'!$D$2:$D$1000))))</f>
        <v/>
      </c>
      <c r="K132" s="40">
        <f>IF($B132="","",SUMPRODUCT(('LOG VẮNG'!$C$2:$C$1000&lt;&gt;"")*(YEAR('LOG VẮNG'!$C$2:$C$1000)=2026)*(MONTH('LOG VẮNG'!$C$2:$C$1000)=9)*ISNUMBER(SEARCH($A132,'LOG VẮNG'!$D$2:$D$1000))))</f>
        <v/>
      </c>
      <c r="L132" s="40">
        <f>IF($B132="","",SUMPRODUCT(('LOG VẮNG'!$C$2:$C$1000&lt;&gt;"")*(YEAR('LOG VẮNG'!$C$2:$C$1000)=2026)*(MONTH('LOG VẮNG'!$C$2:$C$1000)=10)*ISNUMBER(SEARCH($A132,'LOG VẮNG'!$D$2:$D$1000))))</f>
        <v/>
      </c>
      <c r="M132" s="40">
        <f>IF($B132="","",SUMPRODUCT(('LOG VẮNG'!$C$2:$C$1000&lt;&gt;"")*(YEAR('LOG VẮNG'!$C$2:$C$1000)=2026)*(MONTH('LOG VẮNG'!$C$2:$C$1000)=11)*ISNUMBER(SEARCH($A132,'LOG VẮNG'!$D$2:$D$1000))))</f>
        <v/>
      </c>
      <c r="N132" s="40">
        <f>IF($B132="","",SUMPRODUCT(('LOG VẮNG'!$C$2:$C$1000&lt;&gt;"")*(YEAR('LOG VẮNG'!$C$2:$C$1000)=2026)*(MONTH('LOG VẮNG'!$C$2:$C$1000)=12)*ISNUMBER(SEARCH($A132,'LOG VẮNG'!$D$2:$D$1000))))</f>
        <v/>
      </c>
      <c r="O132" s="40">
        <f>IF($B132="","",SUM(C132:N132))</f>
        <v/>
      </c>
    </row>
    <row r="133">
      <c r="A133" s="40" t="inlineStr">
        <is>
          <t>ORI131</t>
        </is>
      </c>
      <c r="B133" s="46">
        <f>IFERROR(INDEX('HỌC VIÊN'!$B$4:$B$203,MATCH($A133,'HỌC VIÊN'!$A$4:$A$203,0)),"")</f>
        <v/>
      </c>
      <c r="C133" s="40">
        <f>IF($B133="","",SUMPRODUCT(('LOG VẮNG'!$C$2:$C$1000&lt;&gt;"")*(YEAR('LOG VẮNG'!$C$2:$C$1000)=2026)*(MONTH('LOG VẮNG'!$C$2:$C$1000)=1)*ISNUMBER(SEARCH($A133,'LOG VẮNG'!$D$2:$D$1000))))</f>
        <v/>
      </c>
      <c r="D133" s="40">
        <f>IF($B133="","",SUMPRODUCT(('LOG VẮNG'!$C$2:$C$1000&lt;&gt;"")*(YEAR('LOG VẮNG'!$C$2:$C$1000)=2026)*(MONTH('LOG VẮNG'!$C$2:$C$1000)=2)*ISNUMBER(SEARCH($A133,'LOG VẮNG'!$D$2:$D$1000))))</f>
        <v/>
      </c>
      <c r="E133" s="40">
        <f>IF($B133="","",SUMPRODUCT(('LOG VẮNG'!$C$2:$C$1000&lt;&gt;"")*(YEAR('LOG VẮNG'!$C$2:$C$1000)=2026)*(MONTH('LOG VẮNG'!$C$2:$C$1000)=3)*ISNUMBER(SEARCH($A133,'LOG VẮNG'!$D$2:$D$1000))))</f>
        <v/>
      </c>
      <c r="F133" s="40">
        <f>IF($B133="","",SUMPRODUCT(('LOG VẮNG'!$C$2:$C$1000&lt;&gt;"")*(YEAR('LOG VẮNG'!$C$2:$C$1000)=2026)*(MONTH('LOG VẮNG'!$C$2:$C$1000)=4)*ISNUMBER(SEARCH($A133,'LOG VẮNG'!$D$2:$D$1000))))</f>
        <v/>
      </c>
      <c r="G133" s="40">
        <f>IF($B133="","",SUMPRODUCT(('LOG VẮNG'!$C$2:$C$1000&lt;&gt;"")*(YEAR('LOG VẮNG'!$C$2:$C$1000)=2026)*(MONTH('LOG VẮNG'!$C$2:$C$1000)=5)*ISNUMBER(SEARCH($A133,'LOG VẮNG'!$D$2:$D$1000))))</f>
        <v/>
      </c>
      <c r="H133" s="40">
        <f>IF($B133="","",SUMPRODUCT(('LOG VẮNG'!$C$2:$C$1000&lt;&gt;"")*(YEAR('LOG VẮNG'!$C$2:$C$1000)=2026)*(MONTH('LOG VẮNG'!$C$2:$C$1000)=6)*ISNUMBER(SEARCH($A133,'LOG VẮNG'!$D$2:$D$1000))))</f>
        <v/>
      </c>
      <c r="I133" s="40">
        <f>IF($B133="","",SUMPRODUCT(('LOG VẮNG'!$C$2:$C$1000&lt;&gt;"")*(YEAR('LOG VẮNG'!$C$2:$C$1000)=2026)*(MONTH('LOG VẮNG'!$C$2:$C$1000)=7)*ISNUMBER(SEARCH($A133,'LOG VẮNG'!$D$2:$D$1000))))</f>
        <v/>
      </c>
      <c r="J133" s="40">
        <f>IF($B133="","",SUMPRODUCT(('LOG VẮNG'!$C$2:$C$1000&lt;&gt;"")*(YEAR('LOG VẮNG'!$C$2:$C$1000)=2026)*(MONTH('LOG VẮNG'!$C$2:$C$1000)=8)*ISNUMBER(SEARCH($A133,'LOG VẮNG'!$D$2:$D$1000))))</f>
        <v/>
      </c>
      <c r="K133" s="40">
        <f>IF($B133="","",SUMPRODUCT(('LOG VẮNG'!$C$2:$C$1000&lt;&gt;"")*(YEAR('LOG VẮNG'!$C$2:$C$1000)=2026)*(MONTH('LOG VẮNG'!$C$2:$C$1000)=9)*ISNUMBER(SEARCH($A133,'LOG VẮNG'!$D$2:$D$1000))))</f>
        <v/>
      </c>
      <c r="L133" s="40">
        <f>IF($B133="","",SUMPRODUCT(('LOG VẮNG'!$C$2:$C$1000&lt;&gt;"")*(YEAR('LOG VẮNG'!$C$2:$C$1000)=2026)*(MONTH('LOG VẮNG'!$C$2:$C$1000)=10)*ISNUMBER(SEARCH($A133,'LOG VẮNG'!$D$2:$D$1000))))</f>
        <v/>
      </c>
      <c r="M133" s="40">
        <f>IF($B133="","",SUMPRODUCT(('LOG VẮNG'!$C$2:$C$1000&lt;&gt;"")*(YEAR('LOG VẮNG'!$C$2:$C$1000)=2026)*(MONTH('LOG VẮNG'!$C$2:$C$1000)=11)*ISNUMBER(SEARCH($A133,'LOG VẮNG'!$D$2:$D$1000))))</f>
        <v/>
      </c>
      <c r="N133" s="40">
        <f>IF($B133="","",SUMPRODUCT(('LOG VẮNG'!$C$2:$C$1000&lt;&gt;"")*(YEAR('LOG VẮNG'!$C$2:$C$1000)=2026)*(MONTH('LOG VẮNG'!$C$2:$C$1000)=12)*ISNUMBER(SEARCH($A133,'LOG VẮNG'!$D$2:$D$1000))))</f>
        <v/>
      </c>
      <c r="O133" s="40">
        <f>IF($B133="","",SUM(C133:N133))</f>
        <v/>
      </c>
    </row>
    <row r="134">
      <c r="A134" s="40" t="inlineStr">
        <is>
          <t>ORI132</t>
        </is>
      </c>
      <c r="B134" s="46">
        <f>IFERROR(INDEX('HỌC VIÊN'!$B$4:$B$203,MATCH($A134,'HỌC VIÊN'!$A$4:$A$203,0)),"")</f>
        <v/>
      </c>
      <c r="C134" s="40">
        <f>IF($B134="","",SUMPRODUCT(('LOG VẮNG'!$C$2:$C$1000&lt;&gt;"")*(YEAR('LOG VẮNG'!$C$2:$C$1000)=2026)*(MONTH('LOG VẮNG'!$C$2:$C$1000)=1)*ISNUMBER(SEARCH($A134,'LOG VẮNG'!$D$2:$D$1000))))</f>
        <v/>
      </c>
      <c r="D134" s="40">
        <f>IF($B134="","",SUMPRODUCT(('LOG VẮNG'!$C$2:$C$1000&lt;&gt;"")*(YEAR('LOG VẮNG'!$C$2:$C$1000)=2026)*(MONTH('LOG VẮNG'!$C$2:$C$1000)=2)*ISNUMBER(SEARCH($A134,'LOG VẮNG'!$D$2:$D$1000))))</f>
        <v/>
      </c>
      <c r="E134" s="40">
        <f>IF($B134="","",SUMPRODUCT(('LOG VẮNG'!$C$2:$C$1000&lt;&gt;"")*(YEAR('LOG VẮNG'!$C$2:$C$1000)=2026)*(MONTH('LOG VẮNG'!$C$2:$C$1000)=3)*ISNUMBER(SEARCH($A134,'LOG VẮNG'!$D$2:$D$1000))))</f>
        <v/>
      </c>
      <c r="F134" s="40">
        <f>IF($B134="","",SUMPRODUCT(('LOG VẮNG'!$C$2:$C$1000&lt;&gt;"")*(YEAR('LOG VẮNG'!$C$2:$C$1000)=2026)*(MONTH('LOG VẮNG'!$C$2:$C$1000)=4)*ISNUMBER(SEARCH($A134,'LOG VẮNG'!$D$2:$D$1000))))</f>
        <v/>
      </c>
      <c r="G134" s="40">
        <f>IF($B134="","",SUMPRODUCT(('LOG VẮNG'!$C$2:$C$1000&lt;&gt;"")*(YEAR('LOG VẮNG'!$C$2:$C$1000)=2026)*(MONTH('LOG VẮNG'!$C$2:$C$1000)=5)*ISNUMBER(SEARCH($A134,'LOG VẮNG'!$D$2:$D$1000))))</f>
        <v/>
      </c>
      <c r="H134" s="40">
        <f>IF($B134="","",SUMPRODUCT(('LOG VẮNG'!$C$2:$C$1000&lt;&gt;"")*(YEAR('LOG VẮNG'!$C$2:$C$1000)=2026)*(MONTH('LOG VẮNG'!$C$2:$C$1000)=6)*ISNUMBER(SEARCH($A134,'LOG VẮNG'!$D$2:$D$1000))))</f>
        <v/>
      </c>
      <c r="I134" s="40">
        <f>IF($B134="","",SUMPRODUCT(('LOG VẮNG'!$C$2:$C$1000&lt;&gt;"")*(YEAR('LOG VẮNG'!$C$2:$C$1000)=2026)*(MONTH('LOG VẮNG'!$C$2:$C$1000)=7)*ISNUMBER(SEARCH($A134,'LOG VẮNG'!$D$2:$D$1000))))</f>
        <v/>
      </c>
      <c r="J134" s="40">
        <f>IF($B134="","",SUMPRODUCT(('LOG VẮNG'!$C$2:$C$1000&lt;&gt;"")*(YEAR('LOG VẮNG'!$C$2:$C$1000)=2026)*(MONTH('LOG VẮNG'!$C$2:$C$1000)=8)*ISNUMBER(SEARCH($A134,'LOG VẮNG'!$D$2:$D$1000))))</f>
        <v/>
      </c>
      <c r="K134" s="40">
        <f>IF($B134="","",SUMPRODUCT(('LOG VẮNG'!$C$2:$C$1000&lt;&gt;"")*(YEAR('LOG VẮNG'!$C$2:$C$1000)=2026)*(MONTH('LOG VẮNG'!$C$2:$C$1000)=9)*ISNUMBER(SEARCH($A134,'LOG VẮNG'!$D$2:$D$1000))))</f>
        <v/>
      </c>
      <c r="L134" s="40">
        <f>IF($B134="","",SUMPRODUCT(('LOG VẮNG'!$C$2:$C$1000&lt;&gt;"")*(YEAR('LOG VẮNG'!$C$2:$C$1000)=2026)*(MONTH('LOG VẮNG'!$C$2:$C$1000)=10)*ISNUMBER(SEARCH($A134,'LOG VẮNG'!$D$2:$D$1000))))</f>
        <v/>
      </c>
      <c r="M134" s="40">
        <f>IF($B134="","",SUMPRODUCT(('LOG VẮNG'!$C$2:$C$1000&lt;&gt;"")*(YEAR('LOG VẮNG'!$C$2:$C$1000)=2026)*(MONTH('LOG VẮNG'!$C$2:$C$1000)=11)*ISNUMBER(SEARCH($A134,'LOG VẮNG'!$D$2:$D$1000))))</f>
        <v/>
      </c>
      <c r="N134" s="40">
        <f>IF($B134="","",SUMPRODUCT(('LOG VẮNG'!$C$2:$C$1000&lt;&gt;"")*(YEAR('LOG VẮNG'!$C$2:$C$1000)=2026)*(MONTH('LOG VẮNG'!$C$2:$C$1000)=12)*ISNUMBER(SEARCH($A134,'LOG VẮNG'!$D$2:$D$1000))))</f>
        <v/>
      </c>
      <c r="O134" s="40">
        <f>IF($B134="","",SUM(C134:N134))</f>
        <v/>
      </c>
    </row>
    <row r="135">
      <c r="A135" s="40" t="inlineStr">
        <is>
          <t>ORI133</t>
        </is>
      </c>
      <c r="B135" s="46">
        <f>IFERROR(INDEX('HỌC VIÊN'!$B$4:$B$203,MATCH($A135,'HỌC VIÊN'!$A$4:$A$203,0)),"")</f>
        <v/>
      </c>
      <c r="C135" s="40">
        <f>IF($B135="","",SUMPRODUCT(('LOG VẮNG'!$C$2:$C$1000&lt;&gt;"")*(YEAR('LOG VẮNG'!$C$2:$C$1000)=2026)*(MONTH('LOG VẮNG'!$C$2:$C$1000)=1)*ISNUMBER(SEARCH($A135,'LOG VẮNG'!$D$2:$D$1000))))</f>
        <v/>
      </c>
      <c r="D135" s="40">
        <f>IF($B135="","",SUMPRODUCT(('LOG VẮNG'!$C$2:$C$1000&lt;&gt;"")*(YEAR('LOG VẮNG'!$C$2:$C$1000)=2026)*(MONTH('LOG VẮNG'!$C$2:$C$1000)=2)*ISNUMBER(SEARCH($A135,'LOG VẮNG'!$D$2:$D$1000))))</f>
        <v/>
      </c>
      <c r="E135" s="40">
        <f>IF($B135="","",SUMPRODUCT(('LOG VẮNG'!$C$2:$C$1000&lt;&gt;"")*(YEAR('LOG VẮNG'!$C$2:$C$1000)=2026)*(MONTH('LOG VẮNG'!$C$2:$C$1000)=3)*ISNUMBER(SEARCH($A135,'LOG VẮNG'!$D$2:$D$1000))))</f>
        <v/>
      </c>
      <c r="F135" s="40">
        <f>IF($B135="","",SUMPRODUCT(('LOG VẮNG'!$C$2:$C$1000&lt;&gt;"")*(YEAR('LOG VẮNG'!$C$2:$C$1000)=2026)*(MONTH('LOG VẮNG'!$C$2:$C$1000)=4)*ISNUMBER(SEARCH($A135,'LOG VẮNG'!$D$2:$D$1000))))</f>
        <v/>
      </c>
      <c r="G135" s="40">
        <f>IF($B135="","",SUMPRODUCT(('LOG VẮNG'!$C$2:$C$1000&lt;&gt;"")*(YEAR('LOG VẮNG'!$C$2:$C$1000)=2026)*(MONTH('LOG VẮNG'!$C$2:$C$1000)=5)*ISNUMBER(SEARCH($A135,'LOG VẮNG'!$D$2:$D$1000))))</f>
        <v/>
      </c>
      <c r="H135" s="40">
        <f>IF($B135="","",SUMPRODUCT(('LOG VẮNG'!$C$2:$C$1000&lt;&gt;"")*(YEAR('LOG VẮNG'!$C$2:$C$1000)=2026)*(MONTH('LOG VẮNG'!$C$2:$C$1000)=6)*ISNUMBER(SEARCH($A135,'LOG VẮNG'!$D$2:$D$1000))))</f>
        <v/>
      </c>
      <c r="I135" s="40">
        <f>IF($B135="","",SUMPRODUCT(('LOG VẮNG'!$C$2:$C$1000&lt;&gt;"")*(YEAR('LOG VẮNG'!$C$2:$C$1000)=2026)*(MONTH('LOG VẮNG'!$C$2:$C$1000)=7)*ISNUMBER(SEARCH($A135,'LOG VẮNG'!$D$2:$D$1000))))</f>
        <v/>
      </c>
      <c r="J135" s="40">
        <f>IF($B135="","",SUMPRODUCT(('LOG VẮNG'!$C$2:$C$1000&lt;&gt;"")*(YEAR('LOG VẮNG'!$C$2:$C$1000)=2026)*(MONTH('LOG VẮNG'!$C$2:$C$1000)=8)*ISNUMBER(SEARCH($A135,'LOG VẮNG'!$D$2:$D$1000))))</f>
        <v/>
      </c>
      <c r="K135" s="40">
        <f>IF($B135="","",SUMPRODUCT(('LOG VẮNG'!$C$2:$C$1000&lt;&gt;"")*(YEAR('LOG VẮNG'!$C$2:$C$1000)=2026)*(MONTH('LOG VẮNG'!$C$2:$C$1000)=9)*ISNUMBER(SEARCH($A135,'LOG VẮNG'!$D$2:$D$1000))))</f>
        <v/>
      </c>
      <c r="L135" s="40">
        <f>IF($B135="","",SUMPRODUCT(('LOG VẮNG'!$C$2:$C$1000&lt;&gt;"")*(YEAR('LOG VẮNG'!$C$2:$C$1000)=2026)*(MONTH('LOG VẮNG'!$C$2:$C$1000)=10)*ISNUMBER(SEARCH($A135,'LOG VẮNG'!$D$2:$D$1000))))</f>
        <v/>
      </c>
      <c r="M135" s="40">
        <f>IF($B135="","",SUMPRODUCT(('LOG VẮNG'!$C$2:$C$1000&lt;&gt;"")*(YEAR('LOG VẮNG'!$C$2:$C$1000)=2026)*(MONTH('LOG VẮNG'!$C$2:$C$1000)=11)*ISNUMBER(SEARCH($A135,'LOG VẮNG'!$D$2:$D$1000))))</f>
        <v/>
      </c>
      <c r="N135" s="40">
        <f>IF($B135="","",SUMPRODUCT(('LOG VẮNG'!$C$2:$C$1000&lt;&gt;"")*(YEAR('LOG VẮNG'!$C$2:$C$1000)=2026)*(MONTH('LOG VẮNG'!$C$2:$C$1000)=12)*ISNUMBER(SEARCH($A135,'LOG VẮNG'!$D$2:$D$1000))))</f>
        <v/>
      </c>
      <c r="O135" s="40">
        <f>IF($B135="","",SUM(C135:N135))</f>
        <v/>
      </c>
    </row>
    <row r="136">
      <c r="A136" s="40" t="inlineStr">
        <is>
          <t>ORI134</t>
        </is>
      </c>
      <c r="B136" s="46">
        <f>IFERROR(INDEX('HỌC VIÊN'!$B$4:$B$203,MATCH($A136,'HỌC VIÊN'!$A$4:$A$203,0)),"")</f>
        <v/>
      </c>
      <c r="C136" s="40">
        <f>IF($B136="","",SUMPRODUCT(('LOG VẮNG'!$C$2:$C$1000&lt;&gt;"")*(YEAR('LOG VẮNG'!$C$2:$C$1000)=2026)*(MONTH('LOG VẮNG'!$C$2:$C$1000)=1)*ISNUMBER(SEARCH($A136,'LOG VẮNG'!$D$2:$D$1000))))</f>
        <v/>
      </c>
      <c r="D136" s="40">
        <f>IF($B136="","",SUMPRODUCT(('LOG VẮNG'!$C$2:$C$1000&lt;&gt;"")*(YEAR('LOG VẮNG'!$C$2:$C$1000)=2026)*(MONTH('LOG VẮNG'!$C$2:$C$1000)=2)*ISNUMBER(SEARCH($A136,'LOG VẮNG'!$D$2:$D$1000))))</f>
        <v/>
      </c>
      <c r="E136" s="40">
        <f>IF($B136="","",SUMPRODUCT(('LOG VẮNG'!$C$2:$C$1000&lt;&gt;"")*(YEAR('LOG VẮNG'!$C$2:$C$1000)=2026)*(MONTH('LOG VẮNG'!$C$2:$C$1000)=3)*ISNUMBER(SEARCH($A136,'LOG VẮNG'!$D$2:$D$1000))))</f>
        <v/>
      </c>
      <c r="F136" s="40">
        <f>IF($B136="","",SUMPRODUCT(('LOG VẮNG'!$C$2:$C$1000&lt;&gt;"")*(YEAR('LOG VẮNG'!$C$2:$C$1000)=2026)*(MONTH('LOG VẮNG'!$C$2:$C$1000)=4)*ISNUMBER(SEARCH($A136,'LOG VẮNG'!$D$2:$D$1000))))</f>
        <v/>
      </c>
      <c r="G136" s="40">
        <f>IF($B136="","",SUMPRODUCT(('LOG VẮNG'!$C$2:$C$1000&lt;&gt;"")*(YEAR('LOG VẮNG'!$C$2:$C$1000)=2026)*(MONTH('LOG VẮNG'!$C$2:$C$1000)=5)*ISNUMBER(SEARCH($A136,'LOG VẮNG'!$D$2:$D$1000))))</f>
        <v/>
      </c>
      <c r="H136" s="40">
        <f>IF($B136="","",SUMPRODUCT(('LOG VẮNG'!$C$2:$C$1000&lt;&gt;"")*(YEAR('LOG VẮNG'!$C$2:$C$1000)=2026)*(MONTH('LOG VẮNG'!$C$2:$C$1000)=6)*ISNUMBER(SEARCH($A136,'LOG VẮNG'!$D$2:$D$1000))))</f>
        <v/>
      </c>
      <c r="I136" s="40">
        <f>IF($B136="","",SUMPRODUCT(('LOG VẮNG'!$C$2:$C$1000&lt;&gt;"")*(YEAR('LOG VẮNG'!$C$2:$C$1000)=2026)*(MONTH('LOG VẮNG'!$C$2:$C$1000)=7)*ISNUMBER(SEARCH($A136,'LOG VẮNG'!$D$2:$D$1000))))</f>
        <v/>
      </c>
      <c r="J136" s="40">
        <f>IF($B136="","",SUMPRODUCT(('LOG VẮNG'!$C$2:$C$1000&lt;&gt;"")*(YEAR('LOG VẮNG'!$C$2:$C$1000)=2026)*(MONTH('LOG VẮNG'!$C$2:$C$1000)=8)*ISNUMBER(SEARCH($A136,'LOG VẮNG'!$D$2:$D$1000))))</f>
        <v/>
      </c>
      <c r="K136" s="40">
        <f>IF($B136="","",SUMPRODUCT(('LOG VẮNG'!$C$2:$C$1000&lt;&gt;"")*(YEAR('LOG VẮNG'!$C$2:$C$1000)=2026)*(MONTH('LOG VẮNG'!$C$2:$C$1000)=9)*ISNUMBER(SEARCH($A136,'LOG VẮNG'!$D$2:$D$1000))))</f>
        <v/>
      </c>
      <c r="L136" s="40">
        <f>IF($B136="","",SUMPRODUCT(('LOG VẮNG'!$C$2:$C$1000&lt;&gt;"")*(YEAR('LOG VẮNG'!$C$2:$C$1000)=2026)*(MONTH('LOG VẮNG'!$C$2:$C$1000)=10)*ISNUMBER(SEARCH($A136,'LOG VẮNG'!$D$2:$D$1000))))</f>
        <v/>
      </c>
      <c r="M136" s="40">
        <f>IF($B136="","",SUMPRODUCT(('LOG VẮNG'!$C$2:$C$1000&lt;&gt;"")*(YEAR('LOG VẮNG'!$C$2:$C$1000)=2026)*(MONTH('LOG VẮNG'!$C$2:$C$1000)=11)*ISNUMBER(SEARCH($A136,'LOG VẮNG'!$D$2:$D$1000))))</f>
        <v/>
      </c>
      <c r="N136" s="40">
        <f>IF($B136="","",SUMPRODUCT(('LOG VẮNG'!$C$2:$C$1000&lt;&gt;"")*(YEAR('LOG VẮNG'!$C$2:$C$1000)=2026)*(MONTH('LOG VẮNG'!$C$2:$C$1000)=12)*ISNUMBER(SEARCH($A136,'LOG VẮNG'!$D$2:$D$1000))))</f>
        <v/>
      </c>
      <c r="O136" s="40">
        <f>IF($B136="","",SUM(C136:N136))</f>
        <v/>
      </c>
    </row>
    <row r="137">
      <c r="A137" s="40" t="inlineStr">
        <is>
          <t>ORI135</t>
        </is>
      </c>
      <c r="B137" s="46">
        <f>IFERROR(INDEX('HỌC VIÊN'!$B$4:$B$203,MATCH($A137,'HỌC VIÊN'!$A$4:$A$203,0)),"")</f>
        <v/>
      </c>
      <c r="C137" s="40">
        <f>IF($B137="","",SUMPRODUCT(('LOG VẮNG'!$C$2:$C$1000&lt;&gt;"")*(YEAR('LOG VẮNG'!$C$2:$C$1000)=2026)*(MONTH('LOG VẮNG'!$C$2:$C$1000)=1)*ISNUMBER(SEARCH($A137,'LOG VẮNG'!$D$2:$D$1000))))</f>
        <v/>
      </c>
      <c r="D137" s="40">
        <f>IF($B137="","",SUMPRODUCT(('LOG VẮNG'!$C$2:$C$1000&lt;&gt;"")*(YEAR('LOG VẮNG'!$C$2:$C$1000)=2026)*(MONTH('LOG VẮNG'!$C$2:$C$1000)=2)*ISNUMBER(SEARCH($A137,'LOG VẮNG'!$D$2:$D$1000))))</f>
        <v/>
      </c>
      <c r="E137" s="40">
        <f>IF($B137="","",SUMPRODUCT(('LOG VẮNG'!$C$2:$C$1000&lt;&gt;"")*(YEAR('LOG VẮNG'!$C$2:$C$1000)=2026)*(MONTH('LOG VẮNG'!$C$2:$C$1000)=3)*ISNUMBER(SEARCH($A137,'LOG VẮNG'!$D$2:$D$1000))))</f>
        <v/>
      </c>
      <c r="F137" s="40">
        <f>IF($B137="","",SUMPRODUCT(('LOG VẮNG'!$C$2:$C$1000&lt;&gt;"")*(YEAR('LOG VẮNG'!$C$2:$C$1000)=2026)*(MONTH('LOG VẮNG'!$C$2:$C$1000)=4)*ISNUMBER(SEARCH($A137,'LOG VẮNG'!$D$2:$D$1000))))</f>
        <v/>
      </c>
      <c r="G137" s="40">
        <f>IF($B137="","",SUMPRODUCT(('LOG VẮNG'!$C$2:$C$1000&lt;&gt;"")*(YEAR('LOG VẮNG'!$C$2:$C$1000)=2026)*(MONTH('LOG VẮNG'!$C$2:$C$1000)=5)*ISNUMBER(SEARCH($A137,'LOG VẮNG'!$D$2:$D$1000))))</f>
        <v/>
      </c>
      <c r="H137" s="40">
        <f>IF($B137="","",SUMPRODUCT(('LOG VẮNG'!$C$2:$C$1000&lt;&gt;"")*(YEAR('LOG VẮNG'!$C$2:$C$1000)=2026)*(MONTH('LOG VẮNG'!$C$2:$C$1000)=6)*ISNUMBER(SEARCH($A137,'LOG VẮNG'!$D$2:$D$1000))))</f>
        <v/>
      </c>
      <c r="I137" s="40">
        <f>IF($B137="","",SUMPRODUCT(('LOG VẮNG'!$C$2:$C$1000&lt;&gt;"")*(YEAR('LOG VẮNG'!$C$2:$C$1000)=2026)*(MONTH('LOG VẮNG'!$C$2:$C$1000)=7)*ISNUMBER(SEARCH($A137,'LOG VẮNG'!$D$2:$D$1000))))</f>
        <v/>
      </c>
      <c r="J137" s="40">
        <f>IF($B137="","",SUMPRODUCT(('LOG VẮNG'!$C$2:$C$1000&lt;&gt;"")*(YEAR('LOG VẮNG'!$C$2:$C$1000)=2026)*(MONTH('LOG VẮNG'!$C$2:$C$1000)=8)*ISNUMBER(SEARCH($A137,'LOG VẮNG'!$D$2:$D$1000))))</f>
        <v/>
      </c>
      <c r="K137" s="40">
        <f>IF($B137="","",SUMPRODUCT(('LOG VẮNG'!$C$2:$C$1000&lt;&gt;"")*(YEAR('LOG VẮNG'!$C$2:$C$1000)=2026)*(MONTH('LOG VẮNG'!$C$2:$C$1000)=9)*ISNUMBER(SEARCH($A137,'LOG VẮNG'!$D$2:$D$1000))))</f>
        <v/>
      </c>
      <c r="L137" s="40">
        <f>IF($B137="","",SUMPRODUCT(('LOG VẮNG'!$C$2:$C$1000&lt;&gt;"")*(YEAR('LOG VẮNG'!$C$2:$C$1000)=2026)*(MONTH('LOG VẮNG'!$C$2:$C$1000)=10)*ISNUMBER(SEARCH($A137,'LOG VẮNG'!$D$2:$D$1000))))</f>
        <v/>
      </c>
      <c r="M137" s="40">
        <f>IF($B137="","",SUMPRODUCT(('LOG VẮNG'!$C$2:$C$1000&lt;&gt;"")*(YEAR('LOG VẮNG'!$C$2:$C$1000)=2026)*(MONTH('LOG VẮNG'!$C$2:$C$1000)=11)*ISNUMBER(SEARCH($A137,'LOG VẮNG'!$D$2:$D$1000))))</f>
        <v/>
      </c>
      <c r="N137" s="40">
        <f>IF($B137="","",SUMPRODUCT(('LOG VẮNG'!$C$2:$C$1000&lt;&gt;"")*(YEAR('LOG VẮNG'!$C$2:$C$1000)=2026)*(MONTH('LOG VẮNG'!$C$2:$C$1000)=12)*ISNUMBER(SEARCH($A137,'LOG VẮNG'!$D$2:$D$1000))))</f>
        <v/>
      </c>
      <c r="O137" s="40">
        <f>IF($B137="","",SUM(C137:N137))</f>
        <v/>
      </c>
    </row>
    <row r="138">
      <c r="A138" s="40" t="inlineStr">
        <is>
          <t>ORI136</t>
        </is>
      </c>
      <c r="B138" s="46">
        <f>IFERROR(INDEX('HỌC VIÊN'!$B$4:$B$203,MATCH($A138,'HỌC VIÊN'!$A$4:$A$203,0)),"")</f>
        <v/>
      </c>
      <c r="C138" s="40">
        <f>IF($B138="","",SUMPRODUCT(('LOG VẮNG'!$C$2:$C$1000&lt;&gt;"")*(YEAR('LOG VẮNG'!$C$2:$C$1000)=2026)*(MONTH('LOG VẮNG'!$C$2:$C$1000)=1)*ISNUMBER(SEARCH($A138,'LOG VẮNG'!$D$2:$D$1000))))</f>
        <v/>
      </c>
      <c r="D138" s="40">
        <f>IF($B138="","",SUMPRODUCT(('LOG VẮNG'!$C$2:$C$1000&lt;&gt;"")*(YEAR('LOG VẮNG'!$C$2:$C$1000)=2026)*(MONTH('LOG VẮNG'!$C$2:$C$1000)=2)*ISNUMBER(SEARCH($A138,'LOG VẮNG'!$D$2:$D$1000))))</f>
        <v/>
      </c>
      <c r="E138" s="40">
        <f>IF($B138="","",SUMPRODUCT(('LOG VẮNG'!$C$2:$C$1000&lt;&gt;"")*(YEAR('LOG VẮNG'!$C$2:$C$1000)=2026)*(MONTH('LOG VẮNG'!$C$2:$C$1000)=3)*ISNUMBER(SEARCH($A138,'LOG VẮNG'!$D$2:$D$1000))))</f>
        <v/>
      </c>
      <c r="F138" s="40">
        <f>IF($B138="","",SUMPRODUCT(('LOG VẮNG'!$C$2:$C$1000&lt;&gt;"")*(YEAR('LOG VẮNG'!$C$2:$C$1000)=2026)*(MONTH('LOG VẮNG'!$C$2:$C$1000)=4)*ISNUMBER(SEARCH($A138,'LOG VẮNG'!$D$2:$D$1000))))</f>
        <v/>
      </c>
      <c r="G138" s="40">
        <f>IF($B138="","",SUMPRODUCT(('LOG VẮNG'!$C$2:$C$1000&lt;&gt;"")*(YEAR('LOG VẮNG'!$C$2:$C$1000)=2026)*(MONTH('LOG VẮNG'!$C$2:$C$1000)=5)*ISNUMBER(SEARCH($A138,'LOG VẮNG'!$D$2:$D$1000))))</f>
        <v/>
      </c>
      <c r="H138" s="40">
        <f>IF($B138="","",SUMPRODUCT(('LOG VẮNG'!$C$2:$C$1000&lt;&gt;"")*(YEAR('LOG VẮNG'!$C$2:$C$1000)=2026)*(MONTH('LOG VẮNG'!$C$2:$C$1000)=6)*ISNUMBER(SEARCH($A138,'LOG VẮNG'!$D$2:$D$1000))))</f>
        <v/>
      </c>
      <c r="I138" s="40">
        <f>IF($B138="","",SUMPRODUCT(('LOG VẮNG'!$C$2:$C$1000&lt;&gt;"")*(YEAR('LOG VẮNG'!$C$2:$C$1000)=2026)*(MONTH('LOG VẮNG'!$C$2:$C$1000)=7)*ISNUMBER(SEARCH($A138,'LOG VẮNG'!$D$2:$D$1000))))</f>
        <v/>
      </c>
      <c r="J138" s="40">
        <f>IF($B138="","",SUMPRODUCT(('LOG VẮNG'!$C$2:$C$1000&lt;&gt;"")*(YEAR('LOG VẮNG'!$C$2:$C$1000)=2026)*(MONTH('LOG VẮNG'!$C$2:$C$1000)=8)*ISNUMBER(SEARCH($A138,'LOG VẮNG'!$D$2:$D$1000))))</f>
        <v/>
      </c>
      <c r="K138" s="40">
        <f>IF($B138="","",SUMPRODUCT(('LOG VẮNG'!$C$2:$C$1000&lt;&gt;"")*(YEAR('LOG VẮNG'!$C$2:$C$1000)=2026)*(MONTH('LOG VẮNG'!$C$2:$C$1000)=9)*ISNUMBER(SEARCH($A138,'LOG VẮNG'!$D$2:$D$1000))))</f>
        <v/>
      </c>
      <c r="L138" s="40">
        <f>IF($B138="","",SUMPRODUCT(('LOG VẮNG'!$C$2:$C$1000&lt;&gt;"")*(YEAR('LOG VẮNG'!$C$2:$C$1000)=2026)*(MONTH('LOG VẮNG'!$C$2:$C$1000)=10)*ISNUMBER(SEARCH($A138,'LOG VẮNG'!$D$2:$D$1000))))</f>
        <v/>
      </c>
      <c r="M138" s="40">
        <f>IF($B138="","",SUMPRODUCT(('LOG VẮNG'!$C$2:$C$1000&lt;&gt;"")*(YEAR('LOG VẮNG'!$C$2:$C$1000)=2026)*(MONTH('LOG VẮNG'!$C$2:$C$1000)=11)*ISNUMBER(SEARCH($A138,'LOG VẮNG'!$D$2:$D$1000))))</f>
        <v/>
      </c>
      <c r="N138" s="40">
        <f>IF($B138="","",SUMPRODUCT(('LOG VẮNG'!$C$2:$C$1000&lt;&gt;"")*(YEAR('LOG VẮNG'!$C$2:$C$1000)=2026)*(MONTH('LOG VẮNG'!$C$2:$C$1000)=12)*ISNUMBER(SEARCH($A138,'LOG VẮNG'!$D$2:$D$1000))))</f>
        <v/>
      </c>
      <c r="O138" s="40">
        <f>IF($B138="","",SUM(C138:N138))</f>
        <v/>
      </c>
    </row>
    <row r="139">
      <c r="A139" s="40" t="inlineStr">
        <is>
          <t>ORI137</t>
        </is>
      </c>
      <c r="B139" s="46">
        <f>IFERROR(INDEX('HỌC VIÊN'!$B$4:$B$203,MATCH($A139,'HỌC VIÊN'!$A$4:$A$203,0)),"")</f>
        <v/>
      </c>
      <c r="C139" s="40">
        <f>IF($B139="","",SUMPRODUCT(('LOG VẮNG'!$C$2:$C$1000&lt;&gt;"")*(YEAR('LOG VẮNG'!$C$2:$C$1000)=2026)*(MONTH('LOG VẮNG'!$C$2:$C$1000)=1)*ISNUMBER(SEARCH($A139,'LOG VẮNG'!$D$2:$D$1000))))</f>
        <v/>
      </c>
      <c r="D139" s="40">
        <f>IF($B139="","",SUMPRODUCT(('LOG VẮNG'!$C$2:$C$1000&lt;&gt;"")*(YEAR('LOG VẮNG'!$C$2:$C$1000)=2026)*(MONTH('LOG VẮNG'!$C$2:$C$1000)=2)*ISNUMBER(SEARCH($A139,'LOG VẮNG'!$D$2:$D$1000))))</f>
        <v/>
      </c>
      <c r="E139" s="40">
        <f>IF($B139="","",SUMPRODUCT(('LOG VẮNG'!$C$2:$C$1000&lt;&gt;"")*(YEAR('LOG VẮNG'!$C$2:$C$1000)=2026)*(MONTH('LOG VẮNG'!$C$2:$C$1000)=3)*ISNUMBER(SEARCH($A139,'LOG VẮNG'!$D$2:$D$1000))))</f>
        <v/>
      </c>
      <c r="F139" s="40">
        <f>IF($B139="","",SUMPRODUCT(('LOG VẮNG'!$C$2:$C$1000&lt;&gt;"")*(YEAR('LOG VẮNG'!$C$2:$C$1000)=2026)*(MONTH('LOG VẮNG'!$C$2:$C$1000)=4)*ISNUMBER(SEARCH($A139,'LOG VẮNG'!$D$2:$D$1000))))</f>
        <v/>
      </c>
      <c r="G139" s="40">
        <f>IF($B139="","",SUMPRODUCT(('LOG VẮNG'!$C$2:$C$1000&lt;&gt;"")*(YEAR('LOG VẮNG'!$C$2:$C$1000)=2026)*(MONTH('LOG VẮNG'!$C$2:$C$1000)=5)*ISNUMBER(SEARCH($A139,'LOG VẮNG'!$D$2:$D$1000))))</f>
        <v/>
      </c>
      <c r="H139" s="40">
        <f>IF($B139="","",SUMPRODUCT(('LOG VẮNG'!$C$2:$C$1000&lt;&gt;"")*(YEAR('LOG VẮNG'!$C$2:$C$1000)=2026)*(MONTH('LOG VẮNG'!$C$2:$C$1000)=6)*ISNUMBER(SEARCH($A139,'LOG VẮNG'!$D$2:$D$1000))))</f>
        <v/>
      </c>
      <c r="I139" s="40">
        <f>IF($B139="","",SUMPRODUCT(('LOG VẮNG'!$C$2:$C$1000&lt;&gt;"")*(YEAR('LOG VẮNG'!$C$2:$C$1000)=2026)*(MONTH('LOG VẮNG'!$C$2:$C$1000)=7)*ISNUMBER(SEARCH($A139,'LOG VẮNG'!$D$2:$D$1000))))</f>
        <v/>
      </c>
      <c r="J139" s="40">
        <f>IF($B139="","",SUMPRODUCT(('LOG VẮNG'!$C$2:$C$1000&lt;&gt;"")*(YEAR('LOG VẮNG'!$C$2:$C$1000)=2026)*(MONTH('LOG VẮNG'!$C$2:$C$1000)=8)*ISNUMBER(SEARCH($A139,'LOG VẮNG'!$D$2:$D$1000))))</f>
        <v/>
      </c>
      <c r="K139" s="40">
        <f>IF($B139="","",SUMPRODUCT(('LOG VẮNG'!$C$2:$C$1000&lt;&gt;"")*(YEAR('LOG VẮNG'!$C$2:$C$1000)=2026)*(MONTH('LOG VẮNG'!$C$2:$C$1000)=9)*ISNUMBER(SEARCH($A139,'LOG VẮNG'!$D$2:$D$1000))))</f>
        <v/>
      </c>
      <c r="L139" s="40">
        <f>IF($B139="","",SUMPRODUCT(('LOG VẮNG'!$C$2:$C$1000&lt;&gt;"")*(YEAR('LOG VẮNG'!$C$2:$C$1000)=2026)*(MONTH('LOG VẮNG'!$C$2:$C$1000)=10)*ISNUMBER(SEARCH($A139,'LOG VẮNG'!$D$2:$D$1000))))</f>
        <v/>
      </c>
      <c r="M139" s="40">
        <f>IF($B139="","",SUMPRODUCT(('LOG VẮNG'!$C$2:$C$1000&lt;&gt;"")*(YEAR('LOG VẮNG'!$C$2:$C$1000)=2026)*(MONTH('LOG VẮNG'!$C$2:$C$1000)=11)*ISNUMBER(SEARCH($A139,'LOG VẮNG'!$D$2:$D$1000))))</f>
        <v/>
      </c>
      <c r="N139" s="40">
        <f>IF($B139="","",SUMPRODUCT(('LOG VẮNG'!$C$2:$C$1000&lt;&gt;"")*(YEAR('LOG VẮNG'!$C$2:$C$1000)=2026)*(MONTH('LOG VẮNG'!$C$2:$C$1000)=12)*ISNUMBER(SEARCH($A139,'LOG VẮNG'!$D$2:$D$1000))))</f>
        <v/>
      </c>
      <c r="O139" s="40">
        <f>IF($B139="","",SUM(C139:N139))</f>
        <v/>
      </c>
    </row>
    <row r="140">
      <c r="A140" s="40" t="inlineStr">
        <is>
          <t>ORI138</t>
        </is>
      </c>
      <c r="B140" s="46">
        <f>IFERROR(INDEX('HỌC VIÊN'!$B$4:$B$203,MATCH($A140,'HỌC VIÊN'!$A$4:$A$203,0)),"")</f>
        <v/>
      </c>
      <c r="C140" s="40">
        <f>IF($B140="","",SUMPRODUCT(('LOG VẮNG'!$C$2:$C$1000&lt;&gt;"")*(YEAR('LOG VẮNG'!$C$2:$C$1000)=2026)*(MONTH('LOG VẮNG'!$C$2:$C$1000)=1)*ISNUMBER(SEARCH($A140,'LOG VẮNG'!$D$2:$D$1000))))</f>
        <v/>
      </c>
      <c r="D140" s="40">
        <f>IF($B140="","",SUMPRODUCT(('LOG VẮNG'!$C$2:$C$1000&lt;&gt;"")*(YEAR('LOG VẮNG'!$C$2:$C$1000)=2026)*(MONTH('LOG VẮNG'!$C$2:$C$1000)=2)*ISNUMBER(SEARCH($A140,'LOG VẮNG'!$D$2:$D$1000))))</f>
        <v/>
      </c>
      <c r="E140" s="40">
        <f>IF($B140="","",SUMPRODUCT(('LOG VẮNG'!$C$2:$C$1000&lt;&gt;"")*(YEAR('LOG VẮNG'!$C$2:$C$1000)=2026)*(MONTH('LOG VẮNG'!$C$2:$C$1000)=3)*ISNUMBER(SEARCH($A140,'LOG VẮNG'!$D$2:$D$1000))))</f>
        <v/>
      </c>
      <c r="F140" s="40">
        <f>IF($B140="","",SUMPRODUCT(('LOG VẮNG'!$C$2:$C$1000&lt;&gt;"")*(YEAR('LOG VẮNG'!$C$2:$C$1000)=2026)*(MONTH('LOG VẮNG'!$C$2:$C$1000)=4)*ISNUMBER(SEARCH($A140,'LOG VẮNG'!$D$2:$D$1000))))</f>
        <v/>
      </c>
      <c r="G140" s="40">
        <f>IF($B140="","",SUMPRODUCT(('LOG VẮNG'!$C$2:$C$1000&lt;&gt;"")*(YEAR('LOG VẮNG'!$C$2:$C$1000)=2026)*(MONTH('LOG VẮNG'!$C$2:$C$1000)=5)*ISNUMBER(SEARCH($A140,'LOG VẮNG'!$D$2:$D$1000))))</f>
        <v/>
      </c>
      <c r="H140" s="40">
        <f>IF($B140="","",SUMPRODUCT(('LOG VẮNG'!$C$2:$C$1000&lt;&gt;"")*(YEAR('LOG VẮNG'!$C$2:$C$1000)=2026)*(MONTH('LOG VẮNG'!$C$2:$C$1000)=6)*ISNUMBER(SEARCH($A140,'LOG VẮNG'!$D$2:$D$1000))))</f>
        <v/>
      </c>
      <c r="I140" s="40">
        <f>IF($B140="","",SUMPRODUCT(('LOG VẮNG'!$C$2:$C$1000&lt;&gt;"")*(YEAR('LOG VẮNG'!$C$2:$C$1000)=2026)*(MONTH('LOG VẮNG'!$C$2:$C$1000)=7)*ISNUMBER(SEARCH($A140,'LOG VẮNG'!$D$2:$D$1000))))</f>
        <v/>
      </c>
      <c r="J140" s="40">
        <f>IF($B140="","",SUMPRODUCT(('LOG VẮNG'!$C$2:$C$1000&lt;&gt;"")*(YEAR('LOG VẮNG'!$C$2:$C$1000)=2026)*(MONTH('LOG VẮNG'!$C$2:$C$1000)=8)*ISNUMBER(SEARCH($A140,'LOG VẮNG'!$D$2:$D$1000))))</f>
        <v/>
      </c>
      <c r="K140" s="40">
        <f>IF($B140="","",SUMPRODUCT(('LOG VẮNG'!$C$2:$C$1000&lt;&gt;"")*(YEAR('LOG VẮNG'!$C$2:$C$1000)=2026)*(MONTH('LOG VẮNG'!$C$2:$C$1000)=9)*ISNUMBER(SEARCH($A140,'LOG VẮNG'!$D$2:$D$1000))))</f>
        <v/>
      </c>
      <c r="L140" s="40">
        <f>IF($B140="","",SUMPRODUCT(('LOG VẮNG'!$C$2:$C$1000&lt;&gt;"")*(YEAR('LOG VẮNG'!$C$2:$C$1000)=2026)*(MONTH('LOG VẮNG'!$C$2:$C$1000)=10)*ISNUMBER(SEARCH($A140,'LOG VẮNG'!$D$2:$D$1000))))</f>
        <v/>
      </c>
      <c r="M140" s="40">
        <f>IF($B140="","",SUMPRODUCT(('LOG VẮNG'!$C$2:$C$1000&lt;&gt;"")*(YEAR('LOG VẮNG'!$C$2:$C$1000)=2026)*(MONTH('LOG VẮNG'!$C$2:$C$1000)=11)*ISNUMBER(SEARCH($A140,'LOG VẮNG'!$D$2:$D$1000))))</f>
        <v/>
      </c>
      <c r="N140" s="40">
        <f>IF($B140="","",SUMPRODUCT(('LOG VẮNG'!$C$2:$C$1000&lt;&gt;"")*(YEAR('LOG VẮNG'!$C$2:$C$1000)=2026)*(MONTH('LOG VẮNG'!$C$2:$C$1000)=12)*ISNUMBER(SEARCH($A140,'LOG VẮNG'!$D$2:$D$1000))))</f>
        <v/>
      </c>
      <c r="O140" s="40">
        <f>IF($B140="","",SUM(C140:N140))</f>
        <v/>
      </c>
    </row>
    <row r="141">
      <c r="A141" s="40" t="inlineStr">
        <is>
          <t>ORI139</t>
        </is>
      </c>
      <c r="B141" s="46">
        <f>IFERROR(INDEX('HỌC VIÊN'!$B$4:$B$203,MATCH($A141,'HỌC VIÊN'!$A$4:$A$203,0)),"")</f>
        <v/>
      </c>
      <c r="C141" s="40">
        <f>IF($B141="","",SUMPRODUCT(('LOG VẮNG'!$C$2:$C$1000&lt;&gt;"")*(YEAR('LOG VẮNG'!$C$2:$C$1000)=2026)*(MONTH('LOG VẮNG'!$C$2:$C$1000)=1)*ISNUMBER(SEARCH($A141,'LOG VẮNG'!$D$2:$D$1000))))</f>
        <v/>
      </c>
      <c r="D141" s="40">
        <f>IF($B141="","",SUMPRODUCT(('LOG VẮNG'!$C$2:$C$1000&lt;&gt;"")*(YEAR('LOG VẮNG'!$C$2:$C$1000)=2026)*(MONTH('LOG VẮNG'!$C$2:$C$1000)=2)*ISNUMBER(SEARCH($A141,'LOG VẮNG'!$D$2:$D$1000))))</f>
        <v/>
      </c>
      <c r="E141" s="40">
        <f>IF($B141="","",SUMPRODUCT(('LOG VẮNG'!$C$2:$C$1000&lt;&gt;"")*(YEAR('LOG VẮNG'!$C$2:$C$1000)=2026)*(MONTH('LOG VẮNG'!$C$2:$C$1000)=3)*ISNUMBER(SEARCH($A141,'LOG VẮNG'!$D$2:$D$1000))))</f>
        <v/>
      </c>
      <c r="F141" s="40">
        <f>IF($B141="","",SUMPRODUCT(('LOG VẮNG'!$C$2:$C$1000&lt;&gt;"")*(YEAR('LOG VẮNG'!$C$2:$C$1000)=2026)*(MONTH('LOG VẮNG'!$C$2:$C$1000)=4)*ISNUMBER(SEARCH($A141,'LOG VẮNG'!$D$2:$D$1000))))</f>
        <v/>
      </c>
      <c r="G141" s="40">
        <f>IF($B141="","",SUMPRODUCT(('LOG VẮNG'!$C$2:$C$1000&lt;&gt;"")*(YEAR('LOG VẮNG'!$C$2:$C$1000)=2026)*(MONTH('LOG VẮNG'!$C$2:$C$1000)=5)*ISNUMBER(SEARCH($A141,'LOG VẮNG'!$D$2:$D$1000))))</f>
        <v/>
      </c>
      <c r="H141" s="40">
        <f>IF($B141="","",SUMPRODUCT(('LOG VẮNG'!$C$2:$C$1000&lt;&gt;"")*(YEAR('LOG VẮNG'!$C$2:$C$1000)=2026)*(MONTH('LOG VẮNG'!$C$2:$C$1000)=6)*ISNUMBER(SEARCH($A141,'LOG VẮNG'!$D$2:$D$1000))))</f>
        <v/>
      </c>
      <c r="I141" s="40">
        <f>IF($B141="","",SUMPRODUCT(('LOG VẮNG'!$C$2:$C$1000&lt;&gt;"")*(YEAR('LOG VẮNG'!$C$2:$C$1000)=2026)*(MONTH('LOG VẮNG'!$C$2:$C$1000)=7)*ISNUMBER(SEARCH($A141,'LOG VẮNG'!$D$2:$D$1000))))</f>
        <v/>
      </c>
      <c r="J141" s="40">
        <f>IF($B141="","",SUMPRODUCT(('LOG VẮNG'!$C$2:$C$1000&lt;&gt;"")*(YEAR('LOG VẮNG'!$C$2:$C$1000)=2026)*(MONTH('LOG VẮNG'!$C$2:$C$1000)=8)*ISNUMBER(SEARCH($A141,'LOG VẮNG'!$D$2:$D$1000))))</f>
        <v/>
      </c>
      <c r="K141" s="40">
        <f>IF($B141="","",SUMPRODUCT(('LOG VẮNG'!$C$2:$C$1000&lt;&gt;"")*(YEAR('LOG VẮNG'!$C$2:$C$1000)=2026)*(MONTH('LOG VẮNG'!$C$2:$C$1000)=9)*ISNUMBER(SEARCH($A141,'LOG VẮNG'!$D$2:$D$1000))))</f>
        <v/>
      </c>
      <c r="L141" s="40">
        <f>IF($B141="","",SUMPRODUCT(('LOG VẮNG'!$C$2:$C$1000&lt;&gt;"")*(YEAR('LOG VẮNG'!$C$2:$C$1000)=2026)*(MONTH('LOG VẮNG'!$C$2:$C$1000)=10)*ISNUMBER(SEARCH($A141,'LOG VẮNG'!$D$2:$D$1000))))</f>
        <v/>
      </c>
      <c r="M141" s="40">
        <f>IF($B141="","",SUMPRODUCT(('LOG VẮNG'!$C$2:$C$1000&lt;&gt;"")*(YEAR('LOG VẮNG'!$C$2:$C$1000)=2026)*(MONTH('LOG VẮNG'!$C$2:$C$1000)=11)*ISNUMBER(SEARCH($A141,'LOG VẮNG'!$D$2:$D$1000))))</f>
        <v/>
      </c>
      <c r="N141" s="40">
        <f>IF($B141="","",SUMPRODUCT(('LOG VẮNG'!$C$2:$C$1000&lt;&gt;"")*(YEAR('LOG VẮNG'!$C$2:$C$1000)=2026)*(MONTH('LOG VẮNG'!$C$2:$C$1000)=12)*ISNUMBER(SEARCH($A141,'LOG VẮNG'!$D$2:$D$1000))))</f>
        <v/>
      </c>
      <c r="O141" s="40">
        <f>IF($B141="","",SUM(C141:N141))</f>
        <v/>
      </c>
    </row>
    <row r="142">
      <c r="A142" s="40" t="inlineStr">
        <is>
          <t>ORI140</t>
        </is>
      </c>
      <c r="B142" s="46">
        <f>IFERROR(INDEX('HỌC VIÊN'!$B$4:$B$203,MATCH($A142,'HỌC VIÊN'!$A$4:$A$203,0)),"")</f>
        <v/>
      </c>
      <c r="C142" s="40">
        <f>IF($B142="","",SUMPRODUCT(('LOG VẮNG'!$C$2:$C$1000&lt;&gt;"")*(YEAR('LOG VẮNG'!$C$2:$C$1000)=2026)*(MONTH('LOG VẮNG'!$C$2:$C$1000)=1)*ISNUMBER(SEARCH($A142,'LOG VẮNG'!$D$2:$D$1000))))</f>
        <v/>
      </c>
      <c r="D142" s="40">
        <f>IF($B142="","",SUMPRODUCT(('LOG VẮNG'!$C$2:$C$1000&lt;&gt;"")*(YEAR('LOG VẮNG'!$C$2:$C$1000)=2026)*(MONTH('LOG VẮNG'!$C$2:$C$1000)=2)*ISNUMBER(SEARCH($A142,'LOG VẮNG'!$D$2:$D$1000))))</f>
        <v/>
      </c>
      <c r="E142" s="40">
        <f>IF($B142="","",SUMPRODUCT(('LOG VẮNG'!$C$2:$C$1000&lt;&gt;"")*(YEAR('LOG VẮNG'!$C$2:$C$1000)=2026)*(MONTH('LOG VẮNG'!$C$2:$C$1000)=3)*ISNUMBER(SEARCH($A142,'LOG VẮNG'!$D$2:$D$1000))))</f>
        <v/>
      </c>
      <c r="F142" s="40">
        <f>IF($B142="","",SUMPRODUCT(('LOG VẮNG'!$C$2:$C$1000&lt;&gt;"")*(YEAR('LOG VẮNG'!$C$2:$C$1000)=2026)*(MONTH('LOG VẮNG'!$C$2:$C$1000)=4)*ISNUMBER(SEARCH($A142,'LOG VẮNG'!$D$2:$D$1000))))</f>
        <v/>
      </c>
      <c r="G142" s="40">
        <f>IF($B142="","",SUMPRODUCT(('LOG VẮNG'!$C$2:$C$1000&lt;&gt;"")*(YEAR('LOG VẮNG'!$C$2:$C$1000)=2026)*(MONTH('LOG VẮNG'!$C$2:$C$1000)=5)*ISNUMBER(SEARCH($A142,'LOG VẮNG'!$D$2:$D$1000))))</f>
        <v/>
      </c>
      <c r="H142" s="40">
        <f>IF($B142="","",SUMPRODUCT(('LOG VẮNG'!$C$2:$C$1000&lt;&gt;"")*(YEAR('LOG VẮNG'!$C$2:$C$1000)=2026)*(MONTH('LOG VẮNG'!$C$2:$C$1000)=6)*ISNUMBER(SEARCH($A142,'LOG VẮNG'!$D$2:$D$1000))))</f>
        <v/>
      </c>
      <c r="I142" s="40">
        <f>IF($B142="","",SUMPRODUCT(('LOG VẮNG'!$C$2:$C$1000&lt;&gt;"")*(YEAR('LOG VẮNG'!$C$2:$C$1000)=2026)*(MONTH('LOG VẮNG'!$C$2:$C$1000)=7)*ISNUMBER(SEARCH($A142,'LOG VẮNG'!$D$2:$D$1000))))</f>
        <v/>
      </c>
      <c r="J142" s="40">
        <f>IF($B142="","",SUMPRODUCT(('LOG VẮNG'!$C$2:$C$1000&lt;&gt;"")*(YEAR('LOG VẮNG'!$C$2:$C$1000)=2026)*(MONTH('LOG VẮNG'!$C$2:$C$1000)=8)*ISNUMBER(SEARCH($A142,'LOG VẮNG'!$D$2:$D$1000))))</f>
        <v/>
      </c>
      <c r="K142" s="40">
        <f>IF($B142="","",SUMPRODUCT(('LOG VẮNG'!$C$2:$C$1000&lt;&gt;"")*(YEAR('LOG VẮNG'!$C$2:$C$1000)=2026)*(MONTH('LOG VẮNG'!$C$2:$C$1000)=9)*ISNUMBER(SEARCH($A142,'LOG VẮNG'!$D$2:$D$1000))))</f>
        <v/>
      </c>
      <c r="L142" s="40">
        <f>IF($B142="","",SUMPRODUCT(('LOG VẮNG'!$C$2:$C$1000&lt;&gt;"")*(YEAR('LOG VẮNG'!$C$2:$C$1000)=2026)*(MONTH('LOG VẮNG'!$C$2:$C$1000)=10)*ISNUMBER(SEARCH($A142,'LOG VẮNG'!$D$2:$D$1000))))</f>
        <v/>
      </c>
      <c r="M142" s="40">
        <f>IF($B142="","",SUMPRODUCT(('LOG VẮNG'!$C$2:$C$1000&lt;&gt;"")*(YEAR('LOG VẮNG'!$C$2:$C$1000)=2026)*(MONTH('LOG VẮNG'!$C$2:$C$1000)=11)*ISNUMBER(SEARCH($A142,'LOG VẮNG'!$D$2:$D$1000))))</f>
        <v/>
      </c>
      <c r="N142" s="40">
        <f>IF($B142="","",SUMPRODUCT(('LOG VẮNG'!$C$2:$C$1000&lt;&gt;"")*(YEAR('LOG VẮNG'!$C$2:$C$1000)=2026)*(MONTH('LOG VẮNG'!$C$2:$C$1000)=12)*ISNUMBER(SEARCH($A142,'LOG VẮNG'!$D$2:$D$1000))))</f>
        <v/>
      </c>
      <c r="O142" s="40">
        <f>IF($B142="","",SUM(C142:N142))</f>
        <v/>
      </c>
    </row>
    <row r="143">
      <c r="A143" s="40" t="inlineStr">
        <is>
          <t>ORI141</t>
        </is>
      </c>
      <c r="B143" s="46">
        <f>IFERROR(INDEX('HỌC VIÊN'!$B$4:$B$203,MATCH($A143,'HỌC VIÊN'!$A$4:$A$203,0)),"")</f>
        <v/>
      </c>
      <c r="C143" s="40">
        <f>IF($B143="","",SUMPRODUCT(('LOG VẮNG'!$C$2:$C$1000&lt;&gt;"")*(YEAR('LOG VẮNG'!$C$2:$C$1000)=2026)*(MONTH('LOG VẮNG'!$C$2:$C$1000)=1)*ISNUMBER(SEARCH($A143,'LOG VẮNG'!$D$2:$D$1000))))</f>
        <v/>
      </c>
      <c r="D143" s="40">
        <f>IF($B143="","",SUMPRODUCT(('LOG VẮNG'!$C$2:$C$1000&lt;&gt;"")*(YEAR('LOG VẮNG'!$C$2:$C$1000)=2026)*(MONTH('LOG VẮNG'!$C$2:$C$1000)=2)*ISNUMBER(SEARCH($A143,'LOG VẮNG'!$D$2:$D$1000))))</f>
        <v/>
      </c>
      <c r="E143" s="40">
        <f>IF($B143="","",SUMPRODUCT(('LOG VẮNG'!$C$2:$C$1000&lt;&gt;"")*(YEAR('LOG VẮNG'!$C$2:$C$1000)=2026)*(MONTH('LOG VẮNG'!$C$2:$C$1000)=3)*ISNUMBER(SEARCH($A143,'LOG VẮNG'!$D$2:$D$1000))))</f>
        <v/>
      </c>
      <c r="F143" s="40">
        <f>IF($B143="","",SUMPRODUCT(('LOG VẮNG'!$C$2:$C$1000&lt;&gt;"")*(YEAR('LOG VẮNG'!$C$2:$C$1000)=2026)*(MONTH('LOG VẮNG'!$C$2:$C$1000)=4)*ISNUMBER(SEARCH($A143,'LOG VẮNG'!$D$2:$D$1000))))</f>
        <v/>
      </c>
      <c r="G143" s="40">
        <f>IF($B143="","",SUMPRODUCT(('LOG VẮNG'!$C$2:$C$1000&lt;&gt;"")*(YEAR('LOG VẮNG'!$C$2:$C$1000)=2026)*(MONTH('LOG VẮNG'!$C$2:$C$1000)=5)*ISNUMBER(SEARCH($A143,'LOG VẮNG'!$D$2:$D$1000))))</f>
        <v/>
      </c>
      <c r="H143" s="40">
        <f>IF($B143="","",SUMPRODUCT(('LOG VẮNG'!$C$2:$C$1000&lt;&gt;"")*(YEAR('LOG VẮNG'!$C$2:$C$1000)=2026)*(MONTH('LOG VẮNG'!$C$2:$C$1000)=6)*ISNUMBER(SEARCH($A143,'LOG VẮNG'!$D$2:$D$1000))))</f>
        <v/>
      </c>
      <c r="I143" s="40">
        <f>IF($B143="","",SUMPRODUCT(('LOG VẮNG'!$C$2:$C$1000&lt;&gt;"")*(YEAR('LOG VẮNG'!$C$2:$C$1000)=2026)*(MONTH('LOG VẮNG'!$C$2:$C$1000)=7)*ISNUMBER(SEARCH($A143,'LOG VẮNG'!$D$2:$D$1000))))</f>
        <v/>
      </c>
      <c r="J143" s="40">
        <f>IF($B143="","",SUMPRODUCT(('LOG VẮNG'!$C$2:$C$1000&lt;&gt;"")*(YEAR('LOG VẮNG'!$C$2:$C$1000)=2026)*(MONTH('LOG VẮNG'!$C$2:$C$1000)=8)*ISNUMBER(SEARCH($A143,'LOG VẮNG'!$D$2:$D$1000))))</f>
        <v/>
      </c>
      <c r="K143" s="40">
        <f>IF($B143="","",SUMPRODUCT(('LOG VẮNG'!$C$2:$C$1000&lt;&gt;"")*(YEAR('LOG VẮNG'!$C$2:$C$1000)=2026)*(MONTH('LOG VẮNG'!$C$2:$C$1000)=9)*ISNUMBER(SEARCH($A143,'LOG VẮNG'!$D$2:$D$1000))))</f>
        <v/>
      </c>
      <c r="L143" s="40">
        <f>IF($B143="","",SUMPRODUCT(('LOG VẮNG'!$C$2:$C$1000&lt;&gt;"")*(YEAR('LOG VẮNG'!$C$2:$C$1000)=2026)*(MONTH('LOG VẮNG'!$C$2:$C$1000)=10)*ISNUMBER(SEARCH($A143,'LOG VẮNG'!$D$2:$D$1000))))</f>
        <v/>
      </c>
      <c r="M143" s="40">
        <f>IF($B143="","",SUMPRODUCT(('LOG VẮNG'!$C$2:$C$1000&lt;&gt;"")*(YEAR('LOG VẮNG'!$C$2:$C$1000)=2026)*(MONTH('LOG VẮNG'!$C$2:$C$1000)=11)*ISNUMBER(SEARCH($A143,'LOG VẮNG'!$D$2:$D$1000))))</f>
        <v/>
      </c>
      <c r="N143" s="40">
        <f>IF($B143="","",SUMPRODUCT(('LOG VẮNG'!$C$2:$C$1000&lt;&gt;"")*(YEAR('LOG VẮNG'!$C$2:$C$1000)=2026)*(MONTH('LOG VẮNG'!$C$2:$C$1000)=12)*ISNUMBER(SEARCH($A143,'LOG VẮNG'!$D$2:$D$1000))))</f>
        <v/>
      </c>
      <c r="O143" s="40">
        <f>IF($B143="","",SUM(C143:N143))</f>
        <v/>
      </c>
    </row>
    <row r="144">
      <c r="A144" s="40" t="inlineStr">
        <is>
          <t>ORI142</t>
        </is>
      </c>
      <c r="B144" s="46">
        <f>IFERROR(INDEX('HỌC VIÊN'!$B$4:$B$203,MATCH($A144,'HỌC VIÊN'!$A$4:$A$203,0)),"")</f>
        <v/>
      </c>
      <c r="C144" s="40">
        <f>IF($B144="","",SUMPRODUCT(('LOG VẮNG'!$C$2:$C$1000&lt;&gt;"")*(YEAR('LOG VẮNG'!$C$2:$C$1000)=2026)*(MONTH('LOG VẮNG'!$C$2:$C$1000)=1)*ISNUMBER(SEARCH($A144,'LOG VẮNG'!$D$2:$D$1000))))</f>
        <v/>
      </c>
      <c r="D144" s="40">
        <f>IF($B144="","",SUMPRODUCT(('LOG VẮNG'!$C$2:$C$1000&lt;&gt;"")*(YEAR('LOG VẮNG'!$C$2:$C$1000)=2026)*(MONTH('LOG VẮNG'!$C$2:$C$1000)=2)*ISNUMBER(SEARCH($A144,'LOG VẮNG'!$D$2:$D$1000))))</f>
        <v/>
      </c>
      <c r="E144" s="40">
        <f>IF($B144="","",SUMPRODUCT(('LOG VẮNG'!$C$2:$C$1000&lt;&gt;"")*(YEAR('LOG VẮNG'!$C$2:$C$1000)=2026)*(MONTH('LOG VẮNG'!$C$2:$C$1000)=3)*ISNUMBER(SEARCH($A144,'LOG VẮNG'!$D$2:$D$1000))))</f>
        <v/>
      </c>
      <c r="F144" s="40">
        <f>IF($B144="","",SUMPRODUCT(('LOG VẮNG'!$C$2:$C$1000&lt;&gt;"")*(YEAR('LOG VẮNG'!$C$2:$C$1000)=2026)*(MONTH('LOG VẮNG'!$C$2:$C$1000)=4)*ISNUMBER(SEARCH($A144,'LOG VẮNG'!$D$2:$D$1000))))</f>
        <v/>
      </c>
      <c r="G144" s="40">
        <f>IF($B144="","",SUMPRODUCT(('LOG VẮNG'!$C$2:$C$1000&lt;&gt;"")*(YEAR('LOG VẮNG'!$C$2:$C$1000)=2026)*(MONTH('LOG VẮNG'!$C$2:$C$1000)=5)*ISNUMBER(SEARCH($A144,'LOG VẮNG'!$D$2:$D$1000))))</f>
        <v/>
      </c>
      <c r="H144" s="40">
        <f>IF($B144="","",SUMPRODUCT(('LOG VẮNG'!$C$2:$C$1000&lt;&gt;"")*(YEAR('LOG VẮNG'!$C$2:$C$1000)=2026)*(MONTH('LOG VẮNG'!$C$2:$C$1000)=6)*ISNUMBER(SEARCH($A144,'LOG VẮNG'!$D$2:$D$1000))))</f>
        <v/>
      </c>
      <c r="I144" s="40">
        <f>IF($B144="","",SUMPRODUCT(('LOG VẮNG'!$C$2:$C$1000&lt;&gt;"")*(YEAR('LOG VẮNG'!$C$2:$C$1000)=2026)*(MONTH('LOG VẮNG'!$C$2:$C$1000)=7)*ISNUMBER(SEARCH($A144,'LOG VẮNG'!$D$2:$D$1000))))</f>
        <v/>
      </c>
      <c r="J144" s="40">
        <f>IF($B144="","",SUMPRODUCT(('LOG VẮNG'!$C$2:$C$1000&lt;&gt;"")*(YEAR('LOG VẮNG'!$C$2:$C$1000)=2026)*(MONTH('LOG VẮNG'!$C$2:$C$1000)=8)*ISNUMBER(SEARCH($A144,'LOG VẮNG'!$D$2:$D$1000))))</f>
        <v/>
      </c>
      <c r="K144" s="40">
        <f>IF($B144="","",SUMPRODUCT(('LOG VẮNG'!$C$2:$C$1000&lt;&gt;"")*(YEAR('LOG VẮNG'!$C$2:$C$1000)=2026)*(MONTH('LOG VẮNG'!$C$2:$C$1000)=9)*ISNUMBER(SEARCH($A144,'LOG VẮNG'!$D$2:$D$1000))))</f>
        <v/>
      </c>
      <c r="L144" s="40">
        <f>IF($B144="","",SUMPRODUCT(('LOG VẮNG'!$C$2:$C$1000&lt;&gt;"")*(YEAR('LOG VẮNG'!$C$2:$C$1000)=2026)*(MONTH('LOG VẮNG'!$C$2:$C$1000)=10)*ISNUMBER(SEARCH($A144,'LOG VẮNG'!$D$2:$D$1000))))</f>
        <v/>
      </c>
      <c r="M144" s="40">
        <f>IF($B144="","",SUMPRODUCT(('LOG VẮNG'!$C$2:$C$1000&lt;&gt;"")*(YEAR('LOG VẮNG'!$C$2:$C$1000)=2026)*(MONTH('LOG VẮNG'!$C$2:$C$1000)=11)*ISNUMBER(SEARCH($A144,'LOG VẮNG'!$D$2:$D$1000))))</f>
        <v/>
      </c>
      <c r="N144" s="40">
        <f>IF($B144="","",SUMPRODUCT(('LOG VẮNG'!$C$2:$C$1000&lt;&gt;"")*(YEAR('LOG VẮNG'!$C$2:$C$1000)=2026)*(MONTH('LOG VẮNG'!$C$2:$C$1000)=12)*ISNUMBER(SEARCH($A144,'LOG VẮNG'!$D$2:$D$1000))))</f>
        <v/>
      </c>
      <c r="O144" s="40">
        <f>IF($B144="","",SUM(C144:N144))</f>
        <v/>
      </c>
    </row>
    <row r="145">
      <c r="A145" s="40" t="inlineStr">
        <is>
          <t>ORI143</t>
        </is>
      </c>
      <c r="B145" s="46">
        <f>IFERROR(INDEX('HỌC VIÊN'!$B$4:$B$203,MATCH($A145,'HỌC VIÊN'!$A$4:$A$203,0)),"")</f>
        <v/>
      </c>
      <c r="C145" s="40">
        <f>IF($B145="","",SUMPRODUCT(('LOG VẮNG'!$C$2:$C$1000&lt;&gt;"")*(YEAR('LOG VẮNG'!$C$2:$C$1000)=2026)*(MONTH('LOG VẮNG'!$C$2:$C$1000)=1)*ISNUMBER(SEARCH($A145,'LOG VẮNG'!$D$2:$D$1000))))</f>
        <v/>
      </c>
      <c r="D145" s="40">
        <f>IF($B145="","",SUMPRODUCT(('LOG VẮNG'!$C$2:$C$1000&lt;&gt;"")*(YEAR('LOG VẮNG'!$C$2:$C$1000)=2026)*(MONTH('LOG VẮNG'!$C$2:$C$1000)=2)*ISNUMBER(SEARCH($A145,'LOG VẮNG'!$D$2:$D$1000))))</f>
        <v/>
      </c>
      <c r="E145" s="40">
        <f>IF($B145="","",SUMPRODUCT(('LOG VẮNG'!$C$2:$C$1000&lt;&gt;"")*(YEAR('LOG VẮNG'!$C$2:$C$1000)=2026)*(MONTH('LOG VẮNG'!$C$2:$C$1000)=3)*ISNUMBER(SEARCH($A145,'LOG VẮNG'!$D$2:$D$1000))))</f>
        <v/>
      </c>
      <c r="F145" s="40">
        <f>IF($B145="","",SUMPRODUCT(('LOG VẮNG'!$C$2:$C$1000&lt;&gt;"")*(YEAR('LOG VẮNG'!$C$2:$C$1000)=2026)*(MONTH('LOG VẮNG'!$C$2:$C$1000)=4)*ISNUMBER(SEARCH($A145,'LOG VẮNG'!$D$2:$D$1000))))</f>
        <v/>
      </c>
      <c r="G145" s="40">
        <f>IF($B145="","",SUMPRODUCT(('LOG VẮNG'!$C$2:$C$1000&lt;&gt;"")*(YEAR('LOG VẮNG'!$C$2:$C$1000)=2026)*(MONTH('LOG VẮNG'!$C$2:$C$1000)=5)*ISNUMBER(SEARCH($A145,'LOG VẮNG'!$D$2:$D$1000))))</f>
        <v/>
      </c>
      <c r="H145" s="40">
        <f>IF($B145="","",SUMPRODUCT(('LOG VẮNG'!$C$2:$C$1000&lt;&gt;"")*(YEAR('LOG VẮNG'!$C$2:$C$1000)=2026)*(MONTH('LOG VẮNG'!$C$2:$C$1000)=6)*ISNUMBER(SEARCH($A145,'LOG VẮNG'!$D$2:$D$1000))))</f>
        <v/>
      </c>
      <c r="I145" s="40">
        <f>IF($B145="","",SUMPRODUCT(('LOG VẮNG'!$C$2:$C$1000&lt;&gt;"")*(YEAR('LOG VẮNG'!$C$2:$C$1000)=2026)*(MONTH('LOG VẮNG'!$C$2:$C$1000)=7)*ISNUMBER(SEARCH($A145,'LOG VẮNG'!$D$2:$D$1000))))</f>
        <v/>
      </c>
      <c r="J145" s="40">
        <f>IF($B145="","",SUMPRODUCT(('LOG VẮNG'!$C$2:$C$1000&lt;&gt;"")*(YEAR('LOG VẮNG'!$C$2:$C$1000)=2026)*(MONTH('LOG VẮNG'!$C$2:$C$1000)=8)*ISNUMBER(SEARCH($A145,'LOG VẮNG'!$D$2:$D$1000))))</f>
        <v/>
      </c>
      <c r="K145" s="40">
        <f>IF($B145="","",SUMPRODUCT(('LOG VẮNG'!$C$2:$C$1000&lt;&gt;"")*(YEAR('LOG VẮNG'!$C$2:$C$1000)=2026)*(MONTH('LOG VẮNG'!$C$2:$C$1000)=9)*ISNUMBER(SEARCH($A145,'LOG VẮNG'!$D$2:$D$1000))))</f>
        <v/>
      </c>
      <c r="L145" s="40">
        <f>IF($B145="","",SUMPRODUCT(('LOG VẮNG'!$C$2:$C$1000&lt;&gt;"")*(YEAR('LOG VẮNG'!$C$2:$C$1000)=2026)*(MONTH('LOG VẮNG'!$C$2:$C$1000)=10)*ISNUMBER(SEARCH($A145,'LOG VẮNG'!$D$2:$D$1000))))</f>
        <v/>
      </c>
      <c r="M145" s="40">
        <f>IF($B145="","",SUMPRODUCT(('LOG VẮNG'!$C$2:$C$1000&lt;&gt;"")*(YEAR('LOG VẮNG'!$C$2:$C$1000)=2026)*(MONTH('LOG VẮNG'!$C$2:$C$1000)=11)*ISNUMBER(SEARCH($A145,'LOG VẮNG'!$D$2:$D$1000))))</f>
        <v/>
      </c>
      <c r="N145" s="40">
        <f>IF($B145="","",SUMPRODUCT(('LOG VẮNG'!$C$2:$C$1000&lt;&gt;"")*(YEAR('LOG VẮNG'!$C$2:$C$1000)=2026)*(MONTH('LOG VẮNG'!$C$2:$C$1000)=12)*ISNUMBER(SEARCH($A145,'LOG VẮNG'!$D$2:$D$1000))))</f>
        <v/>
      </c>
      <c r="O145" s="40">
        <f>IF($B145="","",SUM(C145:N145))</f>
        <v/>
      </c>
    </row>
    <row r="146">
      <c r="A146" s="40" t="inlineStr">
        <is>
          <t>ORI144</t>
        </is>
      </c>
      <c r="B146" s="46">
        <f>IFERROR(INDEX('HỌC VIÊN'!$B$4:$B$203,MATCH($A146,'HỌC VIÊN'!$A$4:$A$203,0)),"")</f>
        <v/>
      </c>
      <c r="C146" s="40">
        <f>IF($B146="","",SUMPRODUCT(('LOG VẮNG'!$C$2:$C$1000&lt;&gt;"")*(YEAR('LOG VẮNG'!$C$2:$C$1000)=2026)*(MONTH('LOG VẮNG'!$C$2:$C$1000)=1)*ISNUMBER(SEARCH($A146,'LOG VẮNG'!$D$2:$D$1000))))</f>
        <v/>
      </c>
      <c r="D146" s="40">
        <f>IF($B146="","",SUMPRODUCT(('LOG VẮNG'!$C$2:$C$1000&lt;&gt;"")*(YEAR('LOG VẮNG'!$C$2:$C$1000)=2026)*(MONTH('LOG VẮNG'!$C$2:$C$1000)=2)*ISNUMBER(SEARCH($A146,'LOG VẮNG'!$D$2:$D$1000))))</f>
        <v/>
      </c>
      <c r="E146" s="40">
        <f>IF($B146="","",SUMPRODUCT(('LOG VẮNG'!$C$2:$C$1000&lt;&gt;"")*(YEAR('LOG VẮNG'!$C$2:$C$1000)=2026)*(MONTH('LOG VẮNG'!$C$2:$C$1000)=3)*ISNUMBER(SEARCH($A146,'LOG VẮNG'!$D$2:$D$1000))))</f>
        <v/>
      </c>
      <c r="F146" s="40">
        <f>IF($B146="","",SUMPRODUCT(('LOG VẮNG'!$C$2:$C$1000&lt;&gt;"")*(YEAR('LOG VẮNG'!$C$2:$C$1000)=2026)*(MONTH('LOG VẮNG'!$C$2:$C$1000)=4)*ISNUMBER(SEARCH($A146,'LOG VẮNG'!$D$2:$D$1000))))</f>
        <v/>
      </c>
      <c r="G146" s="40">
        <f>IF($B146="","",SUMPRODUCT(('LOG VẮNG'!$C$2:$C$1000&lt;&gt;"")*(YEAR('LOG VẮNG'!$C$2:$C$1000)=2026)*(MONTH('LOG VẮNG'!$C$2:$C$1000)=5)*ISNUMBER(SEARCH($A146,'LOG VẮNG'!$D$2:$D$1000))))</f>
        <v/>
      </c>
      <c r="H146" s="40">
        <f>IF($B146="","",SUMPRODUCT(('LOG VẮNG'!$C$2:$C$1000&lt;&gt;"")*(YEAR('LOG VẮNG'!$C$2:$C$1000)=2026)*(MONTH('LOG VẮNG'!$C$2:$C$1000)=6)*ISNUMBER(SEARCH($A146,'LOG VẮNG'!$D$2:$D$1000))))</f>
        <v/>
      </c>
      <c r="I146" s="40">
        <f>IF($B146="","",SUMPRODUCT(('LOG VẮNG'!$C$2:$C$1000&lt;&gt;"")*(YEAR('LOG VẮNG'!$C$2:$C$1000)=2026)*(MONTH('LOG VẮNG'!$C$2:$C$1000)=7)*ISNUMBER(SEARCH($A146,'LOG VẮNG'!$D$2:$D$1000))))</f>
        <v/>
      </c>
      <c r="J146" s="40">
        <f>IF($B146="","",SUMPRODUCT(('LOG VẮNG'!$C$2:$C$1000&lt;&gt;"")*(YEAR('LOG VẮNG'!$C$2:$C$1000)=2026)*(MONTH('LOG VẮNG'!$C$2:$C$1000)=8)*ISNUMBER(SEARCH($A146,'LOG VẮNG'!$D$2:$D$1000))))</f>
        <v/>
      </c>
      <c r="K146" s="40">
        <f>IF($B146="","",SUMPRODUCT(('LOG VẮNG'!$C$2:$C$1000&lt;&gt;"")*(YEAR('LOG VẮNG'!$C$2:$C$1000)=2026)*(MONTH('LOG VẮNG'!$C$2:$C$1000)=9)*ISNUMBER(SEARCH($A146,'LOG VẮNG'!$D$2:$D$1000))))</f>
        <v/>
      </c>
      <c r="L146" s="40">
        <f>IF($B146="","",SUMPRODUCT(('LOG VẮNG'!$C$2:$C$1000&lt;&gt;"")*(YEAR('LOG VẮNG'!$C$2:$C$1000)=2026)*(MONTH('LOG VẮNG'!$C$2:$C$1000)=10)*ISNUMBER(SEARCH($A146,'LOG VẮNG'!$D$2:$D$1000))))</f>
        <v/>
      </c>
      <c r="M146" s="40">
        <f>IF($B146="","",SUMPRODUCT(('LOG VẮNG'!$C$2:$C$1000&lt;&gt;"")*(YEAR('LOG VẮNG'!$C$2:$C$1000)=2026)*(MONTH('LOG VẮNG'!$C$2:$C$1000)=11)*ISNUMBER(SEARCH($A146,'LOG VẮNG'!$D$2:$D$1000))))</f>
        <v/>
      </c>
      <c r="N146" s="40">
        <f>IF($B146="","",SUMPRODUCT(('LOG VẮNG'!$C$2:$C$1000&lt;&gt;"")*(YEAR('LOG VẮNG'!$C$2:$C$1000)=2026)*(MONTH('LOG VẮNG'!$C$2:$C$1000)=12)*ISNUMBER(SEARCH($A146,'LOG VẮNG'!$D$2:$D$1000))))</f>
        <v/>
      </c>
      <c r="O146" s="40">
        <f>IF($B146="","",SUM(C146:N146))</f>
        <v/>
      </c>
    </row>
    <row r="147">
      <c r="A147" s="40" t="inlineStr">
        <is>
          <t>ORI145</t>
        </is>
      </c>
      <c r="B147" s="46">
        <f>IFERROR(INDEX('HỌC VIÊN'!$B$4:$B$203,MATCH($A147,'HỌC VIÊN'!$A$4:$A$203,0)),"")</f>
        <v/>
      </c>
      <c r="C147" s="40">
        <f>IF($B147="","",SUMPRODUCT(('LOG VẮNG'!$C$2:$C$1000&lt;&gt;"")*(YEAR('LOG VẮNG'!$C$2:$C$1000)=2026)*(MONTH('LOG VẮNG'!$C$2:$C$1000)=1)*ISNUMBER(SEARCH($A147,'LOG VẮNG'!$D$2:$D$1000))))</f>
        <v/>
      </c>
      <c r="D147" s="40">
        <f>IF($B147="","",SUMPRODUCT(('LOG VẮNG'!$C$2:$C$1000&lt;&gt;"")*(YEAR('LOG VẮNG'!$C$2:$C$1000)=2026)*(MONTH('LOG VẮNG'!$C$2:$C$1000)=2)*ISNUMBER(SEARCH($A147,'LOG VẮNG'!$D$2:$D$1000))))</f>
        <v/>
      </c>
      <c r="E147" s="40">
        <f>IF($B147="","",SUMPRODUCT(('LOG VẮNG'!$C$2:$C$1000&lt;&gt;"")*(YEAR('LOG VẮNG'!$C$2:$C$1000)=2026)*(MONTH('LOG VẮNG'!$C$2:$C$1000)=3)*ISNUMBER(SEARCH($A147,'LOG VẮNG'!$D$2:$D$1000))))</f>
        <v/>
      </c>
      <c r="F147" s="40">
        <f>IF($B147="","",SUMPRODUCT(('LOG VẮNG'!$C$2:$C$1000&lt;&gt;"")*(YEAR('LOG VẮNG'!$C$2:$C$1000)=2026)*(MONTH('LOG VẮNG'!$C$2:$C$1000)=4)*ISNUMBER(SEARCH($A147,'LOG VẮNG'!$D$2:$D$1000))))</f>
        <v/>
      </c>
      <c r="G147" s="40">
        <f>IF($B147="","",SUMPRODUCT(('LOG VẮNG'!$C$2:$C$1000&lt;&gt;"")*(YEAR('LOG VẮNG'!$C$2:$C$1000)=2026)*(MONTH('LOG VẮNG'!$C$2:$C$1000)=5)*ISNUMBER(SEARCH($A147,'LOG VẮNG'!$D$2:$D$1000))))</f>
        <v/>
      </c>
      <c r="H147" s="40">
        <f>IF($B147="","",SUMPRODUCT(('LOG VẮNG'!$C$2:$C$1000&lt;&gt;"")*(YEAR('LOG VẮNG'!$C$2:$C$1000)=2026)*(MONTH('LOG VẮNG'!$C$2:$C$1000)=6)*ISNUMBER(SEARCH($A147,'LOG VẮNG'!$D$2:$D$1000))))</f>
        <v/>
      </c>
      <c r="I147" s="40">
        <f>IF($B147="","",SUMPRODUCT(('LOG VẮNG'!$C$2:$C$1000&lt;&gt;"")*(YEAR('LOG VẮNG'!$C$2:$C$1000)=2026)*(MONTH('LOG VẮNG'!$C$2:$C$1000)=7)*ISNUMBER(SEARCH($A147,'LOG VẮNG'!$D$2:$D$1000))))</f>
        <v/>
      </c>
      <c r="J147" s="40">
        <f>IF($B147="","",SUMPRODUCT(('LOG VẮNG'!$C$2:$C$1000&lt;&gt;"")*(YEAR('LOG VẮNG'!$C$2:$C$1000)=2026)*(MONTH('LOG VẮNG'!$C$2:$C$1000)=8)*ISNUMBER(SEARCH($A147,'LOG VẮNG'!$D$2:$D$1000))))</f>
        <v/>
      </c>
      <c r="K147" s="40">
        <f>IF($B147="","",SUMPRODUCT(('LOG VẮNG'!$C$2:$C$1000&lt;&gt;"")*(YEAR('LOG VẮNG'!$C$2:$C$1000)=2026)*(MONTH('LOG VẮNG'!$C$2:$C$1000)=9)*ISNUMBER(SEARCH($A147,'LOG VẮNG'!$D$2:$D$1000))))</f>
        <v/>
      </c>
      <c r="L147" s="40">
        <f>IF($B147="","",SUMPRODUCT(('LOG VẮNG'!$C$2:$C$1000&lt;&gt;"")*(YEAR('LOG VẮNG'!$C$2:$C$1000)=2026)*(MONTH('LOG VẮNG'!$C$2:$C$1000)=10)*ISNUMBER(SEARCH($A147,'LOG VẮNG'!$D$2:$D$1000))))</f>
        <v/>
      </c>
      <c r="M147" s="40">
        <f>IF($B147="","",SUMPRODUCT(('LOG VẮNG'!$C$2:$C$1000&lt;&gt;"")*(YEAR('LOG VẮNG'!$C$2:$C$1000)=2026)*(MONTH('LOG VẮNG'!$C$2:$C$1000)=11)*ISNUMBER(SEARCH($A147,'LOG VẮNG'!$D$2:$D$1000))))</f>
        <v/>
      </c>
      <c r="N147" s="40">
        <f>IF($B147="","",SUMPRODUCT(('LOG VẮNG'!$C$2:$C$1000&lt;&gt;"")*(YEAR('LOG VẮNG'!$C$2:$C$1000)=2026)*(MONTH('LOG VẮNG'!$C$2:$C$1000)=12)*ISNUMBER(SEARCH($A147,'LOG VẮNG'!$D$2:$D$1000))))</f>
        <v/>
      </c>
      <c r="O147" s="40">
        <f>IF($B147="","",SUM(C147:N147))</f>
        <v/>
      </c>
    </row>
    <row r="148">
      <c r="A148" s="40" t="inlineStr">
        <is>
          <t>ORI146</t>
        </is>
      </c>
      <c r="B148" s="46">
        <f>IFERROR(INDEX('HỌC VIÊN'!$B$4:$B$203,MATCH($A148,'HỌC VIÊN'!$A$4:$A$203,0)),"")</f>
        <v/>
      </c>
      <c r="C148" s="40">
        <f>IF($B148="","",SUMPRODUCT(('LOG VẮNG'!$C$2:$C$1000&lt;&gt;"")*(YEAR('LOG VẮNG'!$C$2:$C$1000)=2026)*(MONTH('LOG VẮNG'!$C$2:$C$1000)=1)*ISNUMBER(SEARCH($A148,'LOG VẮNG'!$D$2:$D$1000))))</f>
        <v/>
      </c>
      <c r="D148" s="40">
        <f>IF($B148="","",SUMPRODUCT(('LOG VẮNG'!$C$2:$C$1000&lt;&gt;"")*(YEAR('LOG VẮNG'!$C$2:$C$1000)=2026)*(MONTH('LOG VẮNG'!$C$2:$C$1000)=2)*ISNUMBER(SEARCH($A148,'LOG VẮNG'!$D$2:$D$1000))))</f>
        <v/>
      </c>
      <c r="E148" s="40">
        <f>IF($B148="","",SUMPRODUCT(('LOG VẮNG'!$C$2:$C$1000&lt;&gt;"")*(YEAR('LOG VẮNG'!$C$2:$C$1000)=2026)*(MONTH('LOG VẮNG'!$C$2:$C$1000)=3)*ISNUMBER(SEARCH($A148,'LOG VẮNG'!$D$2:$D$1000))))</f>
        <v/>
      </c>
      <c r="F148" s="40">
        <f>IF($B148="","",SUMPRODUCT(('LOG VẮNG'!$C$2:$C$1000&lt;&gt;"")*(YEAR('LOG VẮNG'!$C$2:$C$1000)=2026)*(MONTH('LOG VẮNG'!$C$2:$C$1000)=4)*ISNUMBER(SEARCH($A148,'LOG VẮNG'!$D$2:$D$1000))))</f>
        <v/>
      </c>
      <c r="G148" s="40">
        <f>IF($B148="","",SUMPRODUCT(('LOG VẮNG'!$C$2:$C$1000&lt;&gt;"")*(YEAR('LOG VẮNG'!$C$2:$C$1000)=2026)*(MONTH('LOG VẮNG'!$C$2:$C$1000)=5)*ISNUMBER(SEARCH($A148,'LOG VẮNG'!$D$2:$D$1000))))</f>
        <v/>
      </c>
      <c r="H148" s="40">
        <f>IF($B148="","",SUMPRODUCT(('LOG VẮNG'!$C$2:$C$1000&lt;&gt;"")*(YEAR('LOG VẮNG'!$C$2:$C$1000)=2026)*(MONTH('LOG VẮNG'!$C$2:$C$1000)=6)*ISNUMBER(SEARCH($A148,'LOG VẮNG'!$D$2:$D$1000))))</f>
        <v/>
      </c>
      <c r="I148" s="40">
        <f>IF($B148="","",SUMPRODUCT(('LOG VẮNG'!$C$2:$C$1000&lt;&gt;"")*(YEAR('LOG VẮNG'!$C$2:$C$1000)=2026)*(MONTH('LOG VẮNG'!$C$2:$C$1000)=7)*ISNUMBER(SEARCH($A148,'LOG VẮNG'!$D$2:$D$1000))))</f>
        <v/>
      </c>
      <c r="J148" s="40">
        <f>IF($B148="","",SUMPRODUCT(('LOG VẮNG'!$C$2:$C$1000&lt;&gt;"")*(YEAR('LOG VẮNG'!$C$2:$C$1000)=2026)*(MONTH('LOG VẮNG'!$C$2:$C$1000)=8)*ISNUMBER(SEARCH($A148,'LOG VẮNG'!$D$2:$D$1000))))</f>
        <v/>
      </c>
      <c r="K148" s="40">
        <f>IF($B148="","",SUMPRODUCT(('LOG VẮNG'!$C$2:$C$1000&lt;&gt;"")*(YEAR('LOG VẮNG'!$C$2:$C$1000)=2026)*(MONTH('LOG VẮNG'!$C$2:$C$1000)=9)*ISNUMBER(SEARCH($A148,'LOG VẮNG'!$D$2:$D$1000))))</f>
        <v/>
      </c>
      <c r="L148" s="40">
        <f>IF($B148="","",SUMPRODUCT(('LOG VẮNG'!$C$2:$C$1000&lt;&gt;"")*(YEAR('LOG VẮNG'!$C$2:$C$1000)=2026)*(MONTH('LOG VẮNG'!$C$2:$C$1000)=10)*ISNUMBER(SEARCH($A148,'LOG VẮNG'!$D$2:$D$1000))))</f>
        <v/>
      </c>
      <c r="M148" s="40">
        <f>IF($B148="","",SUMPRODUCT(('LOG VẮNG'!$C$2:$C$1000&lt;&gt;"")*(YEAR('LOG VẮNG'!$C$2:$C$1000)=2026)*(MONTH('LOG VẮNG'!$C$2:$C$1000)=11)*ISNUMBER(SEARCH($A148,'LOG VẮNG'!$D$2:$D$1000))))</f>
        <v/>
      </c>
      <c r="N148" s="40">
        <f>IF($B148="","",SUMPRODUCT(('LOG VẮNG'!$C$2:$C$1000&lt;&gt;"")*(YEAR('LOG VẮNG'!$C$2:$C$1000)=2026)*(MONTH('LOG VẮNG'!$C$2:$C$1000)=12)*ISNUMBER(SEARCH($A148,'LOG VẮNG'!$D$2:$D$1000))))</f>
        <v/>
      </c>
      <c r="O148" s="40">
        <f>IF($B148="","",SUM(C148:N148))</f>
        <v/>
      </c>
    </row>
    <row r="149">
      <c r="A149" s="40" t="inlineStr">
        <is>
          <t>ORI147</t>
        </is>
      </c>
      <c r="B149" s="46">
        <f>IFERROR(INDEX('HỌC VIÊN'!$B$4:$B$203,MATCH($A149,'HỌC VIÊN'!$A$4:$A$203,0)),"")</f>
        <v/>
      </c>
      <c r="C149" s="40">
        <f>IF($B149="","",SUMPRODUCT(('LOG VẮNG'!$C$2:$C$1000&lt;&gt;"")*(YEAR('LOG VẮNG'!$C$2:$C$1000)=2026)*(MONTH('LOG VẮNG'!$C$2:$C$1000)=1)*ISNUMBER(SEARCH($A149,'LOG VẮNG'!$D$2:$D$1000))))</f>
        <v/>
      </c>
      <c r="D149" s="40">
        <f>IF($B149="","",SUMPRODUCT(('LOG VẮNG'!$C$2:$C$1000&lt;&gt;"")*(YEAR('LOG VẮNG'!$C$2:$C$1000)=2026)*(MONTH('LOG VẮNG'!$C$2:$C$1000)=2)*ISNUMBER(SEARCH($A149,'LOG VẮNG'!$D$2:$D$1000))))</f>
        <v/>
      </c>
      <c r="E149" s="40">
        <f>IF($B149="","",SUMPRODUCT(('LOG VẮNG'!$C$2:$C$1000&lt;&gt;"")*(YEAR('LOG VẮNG'!$C$2:$C$1000)=2026)*(MONTH('LOG VẮNG'!$C$2:$C$1000)=3)*ISNUMBER(SEARCH($A149,'LOG VẮNG'!$D$2:$D$1000))))</f>
        <v/>
      </c>
      <c r="F149" s="40">
        <f>IF($B149="","",SUMPRODUCT(('LOG VẮNG'!$C$2:$C$1000&lt;&gt;"")*(YEAR('LOG VẮNG'!$C$2:$C$1000)=2026)*(MONTH('LOG VẮNG'!$C$2:$C$1000)=4)*ISNUMBER(SEARCH($A149,'LOG VẮNG'!$D$2:$D$1000))))</f>
        <v/>
      </c>
      <c r="G149" s="40">
        <f>IF($B149="","",SUMPRODUCT(('LOG VẮNG'!$C$2:$C$1000&lt;&gt;"")*(YEAR('LOG VẮNG'!$C$2:$C$1000)=2026)*(MONTH('LOG VẮNG'!$C$2:$C$1000)=5)*ISNUMBER(SEARCH($A149,'LOG VẮNG'!$D$2:$D$1000))))</f>
        <v/>
      </c>
      <c r="H149" s="40">
        <f>IF($B149="","",SUMPRODUCT(('LOG VẮNG'!$C$2:$C$1000&lt;&gt;"")*(YEAR('LOG VẮNG'!$C$2:$C$1000)=2026)*(MONTH('LOG VẮNG'!$C$2:$C$1000)=6)*ISNUMBER(SEARCH($A149,'LOG VẮNG'!$D$2:$D$1000))))</f>
        <v/>
      </c>
      <c r="I149" s="40">
        <f>IF($B149="","",SUMPRODUCT(('LOG VẮNG'!$C$2:$C$1000&lt;&gt;"")*(YEAR('LOG VẮNG'!$C$2:$C$1000)=2026)*(MONTH('LOG VẮNG'!$C$2:$C$1000)=7)*ISNUMBER(SEARCH($A149,'LOG VẮNG'!$D$2:$D$1000))))</f>
        <v/>
      </c>
      <c r="J149" s="40">
        <f>IF($B149="","",SUMPRODUCT(('LOG VẮNG'!$C$2:$C$1000&lt;&gt;"")*(YEAR('LOG VẮNG'!$C$2:$C$1000)=2026)*(MONTH('LOG VẮNG'!$C$2:$C$1000)=8)*ISNUMBER(SEARCH($A149,'LOG VẮNG'!$D$2:$D$1000))))</f>
        <v/>
      </c>
      <c r="K149" s="40">
        <f>IF($B149="","",SUMPRODUCT(('LOG VẮNG'!$C$2:$C$1000&lt;&gt;"")*(YEAR('LOG VẮNG'!$C$2:$C$1000)=2026)*(MONTH('LOG VẮNG'!$C$2:$C$1000)=9)*ISNUMBER(SEARCH($A149,'LOG VẮNG'!$D$2:$D$1000))))</f>
        <v/>
      </c>
      <c r="L149" s="40">
        <f>IF($B149="","",SUMPRODUCT(('LOG VẮNG'!$C$2:$C$1000&lt;&gt;"")*(YEAR('LOG VẮNG'!$C$2:$C$1000)=2026)*(MONTH('LOG VẮNG'!$C$2:$C$1000)=10)*ISNUMBER(SEARCH($A149,'LOG VẮNG'!$D$2:$D$1000))))</f>
        <v/>
      </c>
      <c r="M149" s="40">
        <f>IF($B149="","",SUMPRODUCT(('LOG VẮNG'!$C$2:$C$1000&lt;&gt;"")*(YEAR('LOG VẮNG'!$C$2:$C$1000)=2026)*(MONTH('LOG VẮNG'!$C$2:$C$1000)=11)*ISNUMBER(SEARCH($A149,'LOG VẮNG'!$D$2:$D$1000))))</f>
        <v/>
      </c>
      <c r="N149" s="40">
        <f>IF($B149="","",SUMPRODUCT(('LOG VẮNG'!$C$2:$C$1000&lt;&gt;"")*(YEAR('LOG VẮNG'!$C$2:$C$1000)=2026)*(MONTH('LOG VẮNG'!$C$2:$C$1000)=12)*ISNUMBER(SEARCH($A149,'LOG VẮNG'!$D$2:$D$1000))))</f>
        <v/>
      </c>
      <c r="O149" s="40">
        <f>IF($B149="","",SUM(C149:N149))</f>
        <v/>
      </c>
    </row>
    <row r="150">
      <c r="A150" s="40" t="inlineStr">
        <is>
          <t>ORI148</t>
        </is>
      </c>
      <c r="B150" s="46">
        <f>IFERROR(INDEX('HỌC VIÊN'!$B$4:$B$203,MATCH($A150,'HỌC VIÊN'!$A$4:$A$203,0)),"")</f>
        <v/>
      </c>
      <c r="C150" s="40">
        <f>IF($B150="","",SUMPRODUCT(('LOG VẮNG'!$C$2:$C$1000&lt;&gt;"")*(YEAR('LOG VẮNG'!$C$2:$C$1000)=2026)*(MONTH('LOG VẮNG'!$C$2:$C$1000)=1)*ISNUMBER(SEARCH($A150,'LOG VẮNG'!$D$2:$D$1000))))</f>
        <v/>
      </c>
      <c r="D150" s="40">
        <f>IF($B150="","",SUMPRODUCT(('LOG VẮNG'!$C$2:$C$1000&lt;&gt;"")*(YEAR('LOG VẮNG'!$C$2:$C$1000)=2026)*(MONTH('LOG VẮNG'!$C$2:$C$1000)=2)*ISNUMBER(SEARCH($A150,'LOG VẮNG'!$D$2:$D$1000))))</f>
        <v/>
      </c>
      <c r="E150" s="40">
        <f>IF($B150="","",SUMPRODUCT(('LOG VẮNG'!$C$2:$C$1000&lt;&gt;"")*(YEAR('LOG VẮNG'!$C$2:$C$1000)=2026)*(MONTH('LOG VẮNG'!$C$2:$C$1000)=3)*ISNUMBER(SEARCH($A150,'LOG VẮNG'!$D$2:$D$1000))))</f>
        <v/>
      </c>
      <c r="F150" s="40">
        <f>IF($B150="","",SUMPRODUCT(('LOG VẮNG'!$C$2:$C$1000&lt;&gt;"")*(YEAR('LOG VẮNG'!$C$2:$C$1000)=2026)*(MONTH('LOG VẮNG'!$C$2:$C$1000)=4)*ISNUMBER(SEARCH($A150,'LOG VẮNG'!$D$2:$D$1000))))</f>
        <v/>
      </c>
      <c r="G150" s="40">
        <f>IF($B150="","",SUMPRODUCT(('LOG VẮNG'!$C$2:$C$1000&lt;&gt;"")*(YEAR('LOG VẮNG'!$C$2:$C$1000)=2026)*(MONTH('LOG VẮNG'!$C$2:$C$1000)=5)*ISNUMBER(SEARCH($A150,'LOG VẮNG'!$D$2:$D$1000))))</f>
        <v/>
      </c>
      <c r="H150" s="40">
        <f>IF($B150="","",SUMPRODUCT(('LOG VẮNG'!$C$2:$C$1000&lt;&gt;"")*(YEAR('LOG VẮNG'!$C$2:$C$1000)=2026)*(MONTH('LOG VẮNG'!$C$2:$C$1000)=6)*ISNUMBER(SEARCH($A150,'LOG VẮNG'!$D$2:$D$1000))))</f>
        <v/>
      </c>
      <c r="I150" s="40">
        <f>IF($B150="","",SUMPRODUCT(('LOG VẮNG'!$C$2:$C$1000&lt;&gt;"")*(YEAR('LOG VẮNG'!$C$2:$C$1000)=2026)*(MONTH('LOG VẮNG'!$C$2:$C$1000)=7)*ISNUMBER(SEARCH($A150,'LOG VẮNG'!$D$2:$D$1000))))</f>
        <v/>
      </c>
      <c r="J150" s="40">
        <f>IF($B150="","",SUMPRODUCT(('LOG VẮNG'!$C$2:$C$1000&lt;&gt;"")*(YEAR('LOG VẮNG'!$C$2:$C$1000)=2026)*(MONTH('LOG VẮNG'!$C$2:$C$1000)=8)*ISNUMBER(SEARCH($A150,'LOG VẮNG'!$D$2:$D$1000))))</f>
        <v/>
      </c>
      <c r="K150" s="40">
        <f>IF($B150="","",SUMPRODUCT(('LOG VẮNG'!$C$2:$C$1000&lt;&gt;"")*(YEAR('LOG VẮNG'!$C$2:$C$1000)=2026)*(MONTH('LOG VẮNG'!$C$2:$C$1000)=9)*ISNUMBER(SEARCH($A150,'LOG VẮNG'!$D$2:$D$1000))))</f>
        <v/>
      </c>
      <c r="L150" s="40">
        <f>IF($B150="","",SUMPRODUCT(('LOG VẮNG'!$C$2:$C$1000&lt;&gt;"")*(YEAR('LOG VẮNG'!$C$2:$C$1000)=2026)*(MONTH('LOG VẮNG'!$C$2:$C$1000)=10)*ISNUMBER(SEARCH($A150,'LOG VẮNG'!$D$2:$D$1000))))</f>
        <v/>
      </c>
      <c r="M150" s="40">
        <f>IF($B150="","",SUMPRODUCT(('LOG VẮNG'!$C$2:$C$1000&lt;&gt;"")*(YEAR('LOG VẮNG'!$C$2:$C$1000)=2026)*(MONTH('LOG VẮNG'!$C$2:$C$1000)=11)*ISNUMBER(SEARCH($A150,'LOG VẮNG'!$D$2:$D$1000))))</f>
        <v/>
      </c>
      <c r="N150" s="40">
        <f>IF($B150="","",SUMPRODUCT(('LOG VẮNG'!$C$2:$C$1000&lt;&gt;"")*(YEAR('LOG VẮNG'!$C$2:$C$1000)=2026)*(MONTH('LOG VẮNG'!$C$2:$C$1000)=12)*ISNUMBER(SEARCH($A150,'LOG VẮNG'!$D$2:$D$1000))))</f>
        <v/>
      </c>
      <c r="O150" s="40">
        <f>IF($B150="","",SUM(C150:N150))</f>
        <v/>
      </c>
    </row>
    <row r="151">
      <c r="A151" s="40" t="inlineStr">
        <is>
          <t>ORI149</t>
        </is>
      </c>
      <c r="B151" s="46">
        <f>IFERROR(INDEX('HỌC VIÊN'!$B$4:$B$203,MATCH($A151,'HỌC VIÊN'!$A$4:$A$203,0)),"")</f>
        <v/>
      </c>
      <c r="C151" s="40">
        <f>IF($B151="","",SUMPRODUCT(('LOG VẮNG'!$C$2:$C$1000&lt;&gt;"")*(YEAR('LOG VẮNG'!$C$2:$C$1000)=2026)*(MONTH('LOG VẮNG'!$C$2:$C$1000)=1)*ISNUMBER(SEARCH($A151,'LOG VẮNG'!$D$2:$D$1000))))</f>
        <v/>
      </c>
      <c r="D151" s="40">
        <f>IF($B151="","",SUMPRODUCT(('LOG VẮNG'!$C$2:$C$1000&lt;&gt;"")*(YEAR('LOG VẮNG'!$C$2:$C$1000)=2026)*(MONTH('LOG VẮNG'!$C$2:$C$1000)=2)*ISNUMBER(SEARCH($A151,'LOG VẮNG'!$D$2:$D$1000))))</f>
        <v/>
      </c>
      <c r="E151" s="40">
        <f>IF($B151="","",SUMPRODUCT(('LOG VẮNG'!$C$2:$C$1000&lt;&gt;"")*(YEAR('LOG VẮNG'!$C$2:$C$1000)=2026)*(MONTH('LOG VẮNG'!$C$2:$C$1000)=3)*ISNUMBER(SEARCH($A151,'LOG VẮNG'!$D$2:$D$1000))))</f>
        <v/>
      </c>
      <c r="F151" s="40">
        <f>IF($B151="","",SUMPRODUCT(('LOG VẮNG'!$C$2:$C$1000&lt;&gt;"")*(YEAR('LOG VẮNG'!$C$2:$C$1000)=2026)*(MONTH('LOG VẮNG'!$C$2:$C$1000)=4)*ISNUMBER(SEARCH($A151,'LOG VẮNG'!$D$2:$D$1000))))</f>
        <v/>
      </c>
      <c r="G151" s="40">
        <f>IF($B151="","",SUMPRODUCT(('LOG VẮNG'!$C$2:$C$1000&lt;&gt;"")*(YEAR('LOG VẮNG'!$C$2:$C$1000)=2026)*(MONTH('LOG VẮNG'!$C$2:$C$1000)=5)*ISNUMBER(SEARCH($A151,'LOG VẮNG'!$D$2:$D$1000))))</f>
        <v/>
      </c>
      <c r="H151" s="40">
        <f>IF($B151="","",SUMPRODUCT(('LOG VẮNG'!$C$2:$C$1000&lt;&gt;"")*(YEAR('LOG VẮNG'!$C$2:$C$1000)=2026)*(MONTH('LOG VẮNG'!$C$2:$C$1000)=6)*ISNUMBER(SEARCH($A151,'LOG VẮNG'!$D$2:$D$1000))))</f>
        <v/>
      </c>
      <c r="I151" s="40">
        <f>IF($B151="","",SUMPRODUCT(('LOG VẮNG'!$C$2:$C$1000&lt;&gt;"")*(YEAR('LOG VẮNG'!$C$2:$C$1000)=2026)*(MONTH('LOG VẮNG'!$C$2:$C$1000)=7)*ISNUMBER(SEARCH($A151,'LOG VẮNG'!$D$2:$D$1000))))</f>
        <v/>
      </c>
      <c r="J151" s="40">
        <f>IF($B151="","",SUMPRODUCT(('LOG VẮNG'!$C$2:$C$1000&lt;&gt;"")*(YEAR('LOG VẮNG'!$C$2:$C$1000)=2026)*(MONTH('LOG VẮNG'!$C$2:$C$1000)=8)*ISNUMBER(SEARCH($A151,'LOG VẮNG'!$D$2:$D$1000))))</f>
        <v/>
      </c>
      <c r="K151" s="40">
        <f>IF($B151="","",SUMPRODUCT(('LOG VẮNG'!$C$2:$C$1000&lt;&gt;"")*(YEAR('LOG VẮNG'!$C$2:$C$1000)=2026)*(MONTH('LOG VẮNG'!$C$2:$C$1000)=9)*ISNUMBER(SEARCH($A151,'LOG VẮNG'!$D$2:$D$1000))))</f>
        <v/>
      </c>
      <c r="L151" s="40">
        <f>IF($B151="","",SUMPRODUCT(('LOG VẮNG'!$C$2:$C$1000&lt;&gt;"")*(YEAR('LOG VẮNG'!$C$2:$C$1000)=2026)*(MONTH('LOG VẮNG'!$C$2:$C$1000)=10)*ISNUMBER(SEARCH($A151,'LOG VẮNG'!$D$2:$D$1000))))</f>
        <v/>
      </c>
      <c r="M151" s="40">
        <f>IF($B151="","",SUMPRODUCT(('LOG VẮNG'!$C$2:$C$1000&lt;&gt;"")*(YEAR('LOG VẮNG'!$C$2:$C$1000)=2026)*(MONTH('LOG VẮNG'!$C$2:$C$1000)=11)*ISNUMBER(SEARCH($A151,'LOG VẮNG'!$D$2:$D$1000))))</f>
        <v/>
      </c>
      <c r="N151" s="40">
        <f>IF($B151="","",SUMPRODUCT(('LOG VẮNG'!$C$2:$C$1000&lt;&gt;"")*(YEAR('LOG VẮNG'!$C$2:$C$1000)=2026)*(MONTH('LOG VẮNG'!$C$2:$C$1000)=12)*ISNUMBER(SEARCH($A151,'LOG VẮNG'!$D$2:$D$1000))))</f>
        <v/>
      </c>
      <c r="O151" s="40">
        <f>IF($B151="","",SUM(C151:N151))</f>
        <v/>
      </c>
    </row>
    <row r="152">
      <c r="A152" s="40" t="inlineStr">
        <is>
          <t>ORI150</t>
        </is>
      </c>
      <c r="B152" s="46">
        <f>IFERROR(INDEX('HỌC VIÊN'!$B$4:$B$203,MATCH($A152,'HỌC VIÊN'!$A$4:$A$203,0)),"")</f>
        <v/>
      </c>
      <c r="C152" s="40">
        <f>IF($B152="","",SUMPRODUCT(('LOG VẮNG'!$C$2:$C$1000&lt;&gt;"")*(YEAR('LOG VẮNG'!$C$2:$C$1000)=2026)*(MONTH('LOG VẮNG'!$C$2:$C$1000)=1)*ISNUMBER(SEARCH($A152,'LOG VẮNG'!$D$2:$D$1000))))</f>
        <v/>
      </c>
      <c r="D152" s="40">
        <f>IF($B152="","",SUMPRODUCT(('LOG VẮNG'!$C$2:$C$1000&lt;&gt;"")*(YEAR('LOG VẮNG'!$C$2:$C$1000)=2026)*(MONTH('LOG VẮNG'!$C$2:$C$1000)=2)*ISNUMBER(SEARCH($A152,'LOG VẮNG'!$D$2:$D$1000))))</f>
        <v/>
      </c>
      <c r="E152" s="40">
        <f>IF($B152="","",SUMPRODUCT(('LOG VẮNG'!$C$2:$C$1000&lt;&gt;"")*(YEAR('LOG VẮNG'!$C$2:$C$1000)=2026)*(MONTH('LOG VẮNG'!$C$2:$C$1000)=3)*ISNUMBER(SEARCH($A152,'LOG VẮNG'!$D$2:$D$1000))))</f>
        <v/>
      </c>
      <c r="F152" s="40">
        <f>IF($B152="","",SUMPRODUCT(('LOG VẮNG'!$C$2:$C$1000&lt;&gt;"")*(YEAR('LOG VẮNG'!$C$2:$C$1000)=2026)*(MONTH('LOG VẮNG'!$C$2:$C$1000)=4)*ISNUMBER(SEARCH($A152,'LOG VẮNG'!$D$2:$D$1000))))</f>
        <v/>
      </c>
      <c r="G152" s="40">
        <f>IF($B152="","",SUMPRODUCT(('LOG VẮNG'!$C$2:$C$1000&lt;&gt;"")*(YEAR('LOG VẮNG'!$C$2:$C$1000)=2026)*(MONTH('LOG VẮNG'!$C$2:$C$1000)=5)*ISNUMBER(SEARCH($A152,'LOG VẮNG'!$D$2:$D$1000))))</f>
        <v/>
      </c>
      <c r="H152" s="40">
        <f>IF($B152="","",SUMPRODUCT(('LOG VẮNG'!$C$2:$C$1000&lt;&gt;"")*(YEAR('LOG VẮNG'!$C$2:$C$1000)=2026)*(MONTH('LOG VẮNG'!$C$2:$C$1000)=6)*ISNUMBER(SEARCH($A152,'LOG VẮNG'!$D$2:$D$1000))))</f>
        <v/>
      </c>
      <c r="I152" s="40">
        <f>IF($B152="","",SUMPRODUCT(('LOG VẮNG'!$C$2:$C$1000&lt;&gt;"")*(YEAR('LOG VẮNG'!$C$2:$C$1000)=2026)*(MONTH('LOG VẮNG'!$C$2:$C$1000)=7)*ISNUMBER(SEARCH($A152,'LOG VẮNG'!$D$2:$D$1000))))</f>
        <v/>
      </c>
      <c r="J152" s="40">
        <f>IF($B152="","",SUMPRODUCT(('LOG VẮNG'!$C$2:$C$1000&lt;&gt;"")*(YEAR('LOG VẮNG'!$C$2:$C$1000)=2026)*(MONTH('LOG VẮNG'!$C$2:$C$1000)=8)*ISNUMBER(SEARCH($A152,'LOG VẮNG'!$D$2:$D$1000))))</f>
        <v/>
      </c>
      <c r="K152" s="40">
        <f>IF($B152="","",SUMPRODUCT(('LOG VẮNG'!$C$2:$C$1000&lt;&gt;"")*(YEAR('LOG VẮNG'!$C$2:$C$1000)=2026)*(MONTH('LOG VẮNG'!$C$2:$C$1000)=9)*ISNUMBER(SEARCH($A152,'LOG VẮNG'!$D$2:$D$1000))))</f>
        <v/>
      </c>
      <c r="L152" s="40">
        <f>IF($B152="","",SUMPRODUCT(('LOG VẮNG'!$C$2:$C$1000&lt;&gt;"")*(YEAR('LOG VẮNG'!$C$2:$C$1000)=2026)*(MONTH('LOG VẮNG'!$C$2:$C$1000)=10)*ISNUMBER(SEARCH($A152,'LOG VẮNG'!$D$2:$D$1000))))</f>
        <v/>
      </c>
      <c r="M152" s="40">
        <f>IF($B152="","",SUMPRODUCT(('LOG VẮNG'!$C$2:$C$1000&lt;&gt;"")*(YEAR('LOG VẮNG'!$C$2:$C$1000)=2026)*(MONTH('LOG VẮNG'!$C$2:$C$1000)=11)*ISNUMBER(SEARCH($A152,'LOG VẮNG'!$D$2:$D$1000))))</f>
        <v/>
      </c>
      <c r="N152" s="40">
        <f>IF($B152="","",SUMPRODUCT(('LOG VẮNG'!$C$2:$C$1000&lt;&gt;"")*(YEAR('LOG VẮNG'!$C$2:$C$1000)=2026)*(MONTH('LOG VẮNG'!$C$2:$C$1000)=12)*ISNUMBER(SEARCH($A152,'LOG VẮNG'!$D$2:$D$1000))))</f>
        <v/>
      </c>
      <c r="O152" s="40">
        <f>IF($B152="","",SUM(C152:N152))</f>
        <v/>
      </c>
    </row>
    <row r="153">
      <c r="A153" s="40" t="inlineStr">
        <is>
          <t>ORI151</t>
        </is>
      </c>
      <c r="B153" s="46">
        <f>IFERROR(INDEX('HỌC VIÊN'!$B$4:$B$203,MATCH($A153,'HỌC VIÊN'!$A$4:$A$203,0)),"")</f>
        <v/>
      </c>
      <c r="C153" s="40">
        <f>IF($B153="","",SUMPRODUCT(('LOG VẮNG'!$C$2:$C$1000&lt;&gt;"")*(YEAR('LOG VẮNG'!$C$2:$C$1000)=2026)*(MONTH('LOG VẮNG'!$C$2:$C$1000)=1)*ISNUMBER(SEARCH($A153,'LOG VẮNG'!$D$2:$D$1000))))</f>
        <v/>
      </c>
      <c r="D153" s="40">
        <f>IF($B153="","",SUMPRODUCT(('LOG VẮNG'!$C$2:$C$1000&lt;&gt;"")*(YEAR('LOG VẮNG'!$C$2:$C$1000)=2026)*(MONTH('LOG VẮNG'!$C$2:$C$1000)=2)*ISNUMBER(SEARCH($A153,'LOG VẮNG'!$D$2:$D$1000))))</f>
        <v/>
      </c>
      <c r="E153" s="40">
        <f>IF($B153="","",SUMPRODUCT(('LOG VẮNG'!$C$2:$C$1000&lt;&gt;"")*(YEAR('LOG VẮNG'!$C$2:$C$1000)=2026)*(MONTH('LOG VẮNG'!$C$2:$C$1000)=3)*ISNUMBER(SEARCH($A153,'LOG VẮNG'!$D$2:$D$1000))))</f>
        <v/>
      </c>
      <c r="F153" s="40">
        <f>IF($B153="","",SUMPRODUCT(('LOG VẮNG'!$C$2:$C$1000&lt;&gt;"")*(YEAR('LOG VẮNG'!$C$2:$C$1000)=2026)*(MONTH('LOG VẮNG'!$C$2:$C$1000)=4)*ISNUMBER(SEARCH($A153,'LOG VẮNG'!$D$2:$D$1000))))</f>
        <v/>
      </c>
      <c r="G153" s="40">
        <f>IF($B153="","",SUMPRODUCT(('LOG VẮNG'!$C$2:$C$1000&lt;&gt;"")*(YEAR('LOG VẮNG'!$C$2:$C$1000)=2026)*(MONTH('LOG VẮNG'!$C$2:$C$1000)=5)*ISNUMBER(SEARCH($A153,'LOG VẮNG'!$D$2:$D$1000))))</f>
        <v/>
      </c>
      <c r="H153" s="40">
        <f>IF($B153="","",SUMPRODUCT(('LOG VẮNG'!$C$2:$C$1000&lt;&gt;"")*(YEAR('LOG VẮNG'!$C$2:$C$1000)=2026)*(MONTH('LOG VẮNG'!$C$2:$C$1000)=6)*ISNUMBER(SEARCH($A153,'LOG VẮNG'!$D$2:$D$1000))))</f>
        <v/>
      </c>
      <c r="I153" s="40">
        <f>IF($B153="","",SUMPRODUCT(('LOG VẮNG'!$C$2:$C$1000&lt;&gt;"")*(YEAR('LOG VẮNG'!$C$2:$C$1000)=2026)*(MONTH('LOG VẮNG'!$C$2:$C$1000)=7)*ISNUMBER(SEARCH($A153,'LOG VẮNG'!$D$2:$D$1000))))</f>
        <v/>
      </c>
      <c r="J153" s="40">
        <f>IF($B153="","",SUMPRODUCT(('LOG VẮNG'!$C$2:$C$1000&lt;&gt;"")*(YEAR('LOG VẮNG'!$C$2:$C$1000)=2026)*(MONTH('LOG VẮNG'!$C$2:$C$1000)=8)*ISNUMBER(SEARCH($A153,'LOG VẮNG'!$D$2:$D$1000))))</f>
        <v/>
      </c>
      <c r="K153" s="40">
        <f>IF($B153="","",SUMPRODUCT(('LOG VẮNG'!$C$2:$C$1000&lt;&gt;"")*(YEAR('LOG VẮNG'!$C$2:$C$1000)=2026)*(MONTH('LOG VẮNG'!$C$2:$C$1000)=9)*ISNUMBER(SEARCH($A153,'LOG VẮNG'!$D$2:$D$1000))))</f>
        <v/>
      </c>
      <c r="L153" s="40">
        <f>IF($B153="","",SUMPRODUCT(('LOG VẮNG'!$C$2:$C$1000&lt;&gt;"")*(YEAR('LOG VẮNG'!$C$2:$C$1000)=2026)*(MONTH('LOG VẮNG'!$C$2:$C$1000)=10)*ISNUMBER(SEARCH($A153,'LOG VẮNG'!$D$2:$D$1000))))</f>
        <v/>
      </c>
      <c r="M153" s="40">
        <f>IF($B153="","",SUMPRODUCT(('LOG VẮNG'!$C$2:$C$1000&lt;&gt;"")*(YEAR('LOG VẮNG'!$C$2:$C$1000)=2026)*(MONTH('LOG VẮNG'!$C$2:$C$1000)=11)*ISNUMBER(SEARCH($A153,'LOG VẮNG'!$D$2:$D$1000))))</f>
        <v/>
      </c>
      <c r="N153" s="40">
        <f>IF($B153="","",SUMPRODUCT(('LOG VẮNG'!$C$2:$C$1000&lt;&gt;"")*(YEAR('LOG VẮNG'!$C$2:$C$1000)=2026)*(MONTH('LOG VẮNG'!$C$2:$C$1000)=12)*ISNUMBER(SEARCH($A153,'LOG VẮNG'!$D$2:$D$1000))))</f>
        <v/>
      </c>
      <c r="O153" s="40">
        <f>IF($B153="","",SUM(C153:N153))</f>
        <v/>
      </c>
    </row>
    <row r="154">
      <c r="A154" s="40" t="inlineStr">
        <is>
          <t>ORI152</t>
        </is>
      </c>
      <c r="B154" s="46">
        <f>IFERROR(INDEX('HỌC VIÊN'!$B$4:$B$203,MATCH($A154,'HỌC VIÊN'!$A$4:$A$203,0)),"")</f>
        <v/>
      </c>
      <c r="C154" s="40">
        <f>IF($B154="","",SUMPRODUCT(('LOG VẮNG'!$C$2:$C$1000&lt;&gt;"")*(YEAR('LOG VẮNG'!$C$2:$C$1000)=2026)*(MONTH('LOG VẮNG'!$C$2:$C$1000)=1)*ISNUMBER(SEARCH($A154,'LOG VẮNG'!$D$2:$D$1000))))</f>
        <v/>
      </c>
      <c r="D154" s="40">
        <f>IF($B154="","",SUMPRODUCT(('LOG VẮNG'!$C$2:$C$1000&lt;&gt;"")*(YEAR('LOG VẮNG'!$C$2:$C$1000)=2026)*(MONTH('LOG VẮNG'!$C$2:$C$1000)=2)*ISNUMBER(SEARCH($A154,'LOG VẮNG'!$D$2:$D$1000))))</f>
        <v/>
      </c>
      <c r="E154" s="40">
        <f>IF($B154="","",SUMPRODUCT(('LOG VẮNG'!$C$2:$C$1000&lt;&gt;"")*(YEAR('LOG VẮNG'!$C$2:$C$1000)=2026)*(MONTH('LOG VẮNG'!$C$2:$C$1000)=3)*ISNUMBER(SEARCH($A154,'LOG VẮNG'!$D$2:$D$1000))))</f>
        <v/>
      </c>
      <c r="F154" s="40">
        <f>IF($B154="","",SUMPRODUCT(('LOG VẮNG'!$C$2:$C$1000&lt;&gt;"")*(YEAR('LOG VẮNG'!$C$2:$C$1000)=2026)*(MONTH('LOG VẮNG'!$C$2:$C$1000)=4)*ISNUMBER(SEARCH($A154,'LOG VẮNG'!$D$2:$D$1000))))</f>
        <v/>
      </c>
      <c r="G154" s="40">
        <f>IF($B154="","",SUMPRODUCT(('LOG VẮNG'!$C$2:$C$1000&lt;&gt;"")*(YEAR('LOG VẮNG'!$C$2:$C$1000)=2026)*(MONTH('LOG VẮNG'!$C$2:$C$1000)=5)*ISNUMBER(SEARCH($A154,'LOG VẮNG'!$D$2:$D$1000))))</f>
        <v/>
      </c>
      <c r="H154" s="40">
        <f>IF($B154="","",SUMPRODUCT(('LOG VẮNG'!$C$2:$C$1000&lt;&gt;"")*(YEAR('LOG VẮNG'!$C$2:$C$1000)=2026)*(MONTH('LOG VẮNG'!$C$2:$C$1000)=6)*ISNUMBER(SEARCH($A154,'LOG VẮNG'!$D$2:$D$1000))))</f>
        <v/>
      </c>
      <c r="I154" s="40">
        <f>IF($B154="","",SUMPRODUCT(('LOG VẮNG'!$C$2:$C$1000&lt;&gt;"")*(YEAR('LOG VẮNG'!$C$2:$C$1000)=2026)*(MONTH('LOG VẮNG'!$C$2:$C$1000)=7)*ISNUMBER(SEARCH($A154,'LOG VẮNG'!$D$2:$D$1000))))</f>
        <v/>
      </c>
      <c r="J154" s="40">
        <f>IF($B154="","",SUMPRODUCT(('LOG VẮNG'!$C$2:$C$1000&lt;&gt;"")*(YEAR('LOG VẮNG'!$C$2:$C$1000)=2026)*(MONTH('LOG VẮNG'!$C$2:$C$1000)=8)*ISNUMBER(SEARCH($A154,'LOG VẮNG'!$D$2:$D$1000))))</f>
        <v/>
      </c>
      <c r="K154" s="40">
        <f>IF($B154="","",SUMPRODUCT(('LOG VẮNG'!$C$2:$C$1000&lt;&gt;"")*(YEAR('LOG VẮNG'!$C$2:$C$1000)=2026)*(MONTH('LOG VẮNG'!$C$2:$C$1000)=9)*ISNUMBER(SEARCH($A154,'LOG VẮNG'!$D$2:$D$1000))))</f>
        <v/>
      </c>
      <c r="L154" s="40">
        <f>IF($B154="","",SUMPRODUCT(('LOG VẮNG'!$C$2:$C$1000&lt;&gt;"")*(YEAR('LOG VẮNG'!$C$2:$C$1000)=2026)*(MONTH('LOG VẮNG'!$C$2:$C$1000)=10)*ISNUMBER(SEARCH($A154,'LOG VẮNG'!$D$2:$D$1000))))</f>
        <v/>
      </c>
      <c r="M154" s="40">
        <f>IF($B154="","",SUMPRODUCT(('LOG VẮNG'!$C$2:$C$1000&lt;&gt;"")*(YEAR('LOG VẮNG'!$C$2:$C$1000)=2026)*(MONTH('LOG VẮNG'!$C$2:$C$1000)=11)*ISNUMBER(SEARCH($A154,'LOG VẮNG'!$D$2:$D$1000))))</f>
        <v/>
      </c>
      <c r="N154" s="40">
        <f>IF($B154="","",SUMPRODUCT(('LOG VẮNG'!$C$2:$C$1000&lt;&gt;"")*(YEAR('LOG VẮNG'!$C$2:$C$1000)=2026)*(MONTH('LOG VẮNG'!$C$2:$C$1000)=12)*ISNUMBER(SEARCH($A154,'LOG VẮNG'!$D$2:$D$1000))))</f>
        <v/>
      </c>
      <c r="O154" s="40">
        <f>IF($B154="","",SUM(C154:N154))</f>
        <v/>
      </c>
    </row>
    <row r="155">
      <c r="A155" s="40" t="inlineStr">
        <is>
          <t>ORI153</t>
        </is>
      </c>
      <c r="B155" s="46">
        <f>IFERROR(INDEX('HỌC VIÊN'!$B$4:$B$203,MATCH($A155,'HỌC VIÊN'!$A$4:$A$203,0)),"")</f>
        <v/>
      </c>
      <c r="C155" s="40">
        <f>IF($B155="","",SUMPRODUCT(('LOG VẮNG'!$C$2:$C$1000&lt;&gt;"")*(YEAR('LOG VẮNG'!$C$2:$C$1000)=2026)*(MONTH('LOG VẮNG'!$C$2:$C$1000)=1)*ISNUMBER(SEARCH($A155,'LOG VẮNG'!$D$2:$D$1000))))</f>
        <v/>
      </c>
      <c r="D155" s="40">
        <f>IF($B155="","",SUMPRODUCT(('LOG VẮNG'!$C$2:$C$1000&lt;&gt;"")*(YEAR('LOG VẮNG'!$C$2:$C$1000)=2026)*(MONTH('LOG VẮNG'!$C$2:$C$1000)=2)*ISNUMBER(SEARCH($A155,'LOG VẮNG'!$D$2:$D$1000))))</f>
        <v/>
      </c>
      <c r="E155" s="40">
        <f>IF($B155="","",SUMPRODUCT(('LOG VẮNG'!$C$2:$C$1000&lt;&gt;"")*(YEAR('LOG VẮNG'!$C$2:$C$1000)=2026)*(MONTH('LOG VẮNG'!$C$2:$C$1000)=3)*ISNUMBER(SEARCH($A155,'LOG VẮNG'!$D$2:$D$1000))))</f>
        <v/>
      </c>
      <c r="F155" s="40">
        <f>IF($B155="","",SUMPRODUCT(('LOG VẮNG'!$C$2:$C$1000&lt;&gt;"")*(YEAR('LOG VẮNG'!$C$2:$C$1000)=2026)*(MONTH('LOG VẮNG'!$C$2:$C$1000)=4)*ISNUMBER(SEARCH($A155,'LOG VẮNG'!$D$2:$D$1000))))</f>
        <v/>
      </c>
      <c r="G155" s="40">
        <f>IF($B155="","",SUMPRODUCT(('LOG VẮNG'!$C$2:$C$1000&lt;&gt;"")*(YEAR('LOG VẮNG'!$C$2:$C$1000)=2026)*(MONTH('LOG VẮNG'!$C$2:$C$1000)=5)*ISNUMBER(SEARCH($A155,'LOG VẮNG'!$D$2:$D$1000))))</f>
        <v/>
      </c>
      <c r="H155" s="40">
        <f>IF($B155="","",SUMPRODUCT(('LOG VẮNG'!$C$2:$C$1000&lt;&gt;"")*(YEAR('LOG VẮNG'!$C$2:$C$1000)=2026)*(MONTH('LOG VẮNG'!$C$2:$C$1000)=6)*ISNUMBER(SEARCH($A155,'LOG VẮNG'!$D$2:$D$1000))))</f>
        <v/>
      </c>
      <c r="I155" s="40">
        <f>IF($B155="","",SUMPRODUCT(('LOG VẮNG'!$C$2:$C$1000&lt;&gt;"")*(YEAR('LOG VẮNG'!$C$2:$C$1000)=2026)*(MONTH('LOG VẮNG'!$C$2:$C$1000)=7)*ISNUMBER(SEARCH($A155,'LOG VẮNG'!$D$2:$D$1000))))</f>
        <v/>
      </c>
      <c r="J155" s="40">
        <f>IF($B155="","",SUMPRODUCT(('LOG VẮNG'!$C$2:$C$1000&lt;&gt;"")*(YEAR('LOG VẮNG'!$C$2:$C$1000)=2026)*(MONTH('LOG VẮNG'!$C$2:$C$1000)=8)*ISNUMBER(SEARCH($A155,'LOG VẮNG'!$D$2:$D$1000))))</f>
        <v/>
      </c>
      <c r="K155" s="40">
        <f>IF($B155="","",SUMPRODUCT(('LOG VẮNG'!$C$2:$C$1000&lt;&gt;"")*(YEAR('LOG VẮNG'!$C$2:$C$1000)=2026)*(MONTH('LOG VẮNG'!$C$2:$C$1000)=9)*ISNUMBER(SEARCH($A155,'LOG VẮNG'!$D$2:$D$1000))))</f>
        <v/>
      </c>
      <c r="L155" s="40">
        <f>IF($B155="","",SUMPRODUCT(('LOG VẮNG'!$C$2:$C$1000&lt;&gt;"")*(YEAR('LOG VẮNG'!$C$2:$C$1000)=2026)*(MONTH('LOG VẮNG'!$C$2:$C$1000)=10)*ISNUMBER(SEARCH($A155,'LOG VẮNG'!$D$2:$D$1000))))</f>
        <v/>
      </c>
      <c r="M155" s="40">
        <f>IF($B155="","",SUMPRODUCT(('LOG VẮNG'!$C$2:$C$1000&lt;&gt;"")*(YEAR('LOG VẮNG'!$C$2:$C$1000)=2026)*(MONTH('LOG VẮNG'!$C$2:$C$1000)=11)*ISNUMBER(SEARCH($A155,'LOG VẮNG'!$D$2:$D$1000))))</f>
        <v/>
      </c>
      <c r="N155" s="40">
        <f>IF($B155="","",SUMPRODUCT(('LOG VẮNG'!$C$2:$C$1000&lt;&gt;"")*(YEAR('LOG VẮNG'!$C$2:$C$1000)=2026)*(MONTH('LOG VẮNG'!$C$2:$C$1000)=12)*ISNUMBER(SEARCH($A155,'LOG VẮNG'!$D$2:$D$1000))))</f>
        <v/>
      </c>
      <c r="O155" s="40">
        <f>IF($B155="","",SUM(C155:N155))</f>
        <v/>
      </c>
    </row>
    <row r="156">
      <c r="A156" s="40" t="inlineStr">
        <is>
          <t>ORI154</t>
        </is>
      </c>
      <c r="B156" s="46">
        <f>IFERROR(INDEX('HỌC VIÊN'!$B$4:$B$203,MATCH($A156,'HỌC VIÊN'!$A$4:$A$203,0)),"")</f>
        <v/>
      </c>
      <c r="C156" s="40">
        <f>IF($B156="","",SUMPRODUCT(('LOG VẮNG'!$C$2:$C$1000&lt;&gt;"")*(YEAR('LOG VẮNG'!$C$2:$C$1000)=2026)*(MONTH('LOG VẮNG'!$C$2:$C$1000)=1)*ISNUMBER(SEARCH($A156,'LOG VẮNG'!$D$2:$D$1000))))</f>
        <v/>
      </c>
      <c r="D156" s="40">
        <f>IF($B156="","",SUMPRODUCT(('LOG VẮNG'!$C$2:$C$1000&lt;&gt;"")*(YEAR('LOG VẮNG'!$C$2:$C$1000)=2026)*(MONTH('LOG VẮNG'!$C$2:$C$1000)=2)*ISNUMBER(SEARCH($A156,'LOG VẮNG'!$D$2:$D$1000))))</f>
        <v/>
      </c>
      <c r="E156" s="40">
        <f>IF($B156="","",SUMPRODUCT(('LOG VẮNG'!$C$2:$C$1000&lt;&gt;"")*(YEAR('LOG VẮNG'!$C$2:$C$1000)=2026)*(MONTH('LOG VẮNG'!$C$2:$C$1000)=3)*ISNUMBER(SEARCH($A156,'LOG VẮNG'!$D$2:$D$1000))))</f>
        <v/>
      </c>
      <c r="F156" s="40">
        <f>IF($B156="","",SUMPRODUCT(('LOG VẮNG'!$C$2:$C$1000&lt;&gt;"")*(YEAR('LOG VẮNG'!$C$2:$C$1000)=2026)*(MONTH('LOG VẮNG'!$C$2:$C$1000)=4)*ISNUMBER(SEARCH($A156,'LOG VẮNG'!$D$2:$D$1000))))</f>
        <v/>
      </c>
      <c r="G156" s="40">
        <f>IF($B156="","",SUMPRODUCT(('LOG VẮNG'!$C$2:$C$1000&lt;&gt;"")*(YEAR('LOG VẮNG'!$C$2:$C$1000)=2026)*(MONTH('LOG VẮNG'!$C$2:$C$1000)=5)*ISNUMBER(SEARCH($A156,'LOG VẮNG'!$D$2:$D$1000))))</f>
        <v/>
      </c>
      <c r="H156" s="40">
        <f>IF($B156="","",SUMPRODUCT(('LOG VẮNG'!$C$2:$C$1000&lt;&gt;"")*(YEAR('LOG VẮNG'!$C$2:$C$1000)=2026)*(MONTH('LOG VẮNG'!$C$2:$C$1000)=6)*ISNUMBER(SEARCH($A156,'LOG VẮNG'!$D$2:$D$1000))))</f>
        <v/>
      </c>
      <c r="I156" s="40">
        <f>IF($B156="","",SUMPRODUCT(('LOG VẮNG'!$C$2:$C$1000&lt;&gt;"")*(YEAR('LOG VẮNG'!$C$2:$C$1000)=2026)*(MONTH('LOG VẮNG'!$C$2:$C$1000)=7)*ISNUMBER(SEARCH($A156,'LOG VẮNG'!$D$2:$D$1000))))</f>
        <v/>
      </c>
      <c r="J156" s="40">
        <f>IF($B156="","",SUMPRODUCT(('LOG VẮNG'!$C$2:$C$1000&lt;&gt;"")*(YEAR('LOG VẮNG'!$C$2:$C$1000)=2026)*(MONTH('LOG VẮNG'!$C$2:$C$1000)=8)*ISNUMBER(SEARCH($A156,'LOG VẮNG'!$D$2:$D$1000))))</f>
        <v/>
      </c>
      <c r="K156" s="40">
        <f>IF($B156="","",SUMPRODUCT(('LOG VẮNG'!$C$2:$C$1000&lt;&gt;"")*(YEAR('LOG VẮNG'!$C$2:$C$1000)=2026)*(MONTH('LOG VẮNG'!$C$2:$C$1000)=9)*ISNUMBER(SEARCH($A156,'LOG VẮNG'!$D$2:$D$1000))))</f>
        <v/>
      </c>
      <c r="L156" s="40">
        <f>IF($B156="","",SUMPRODUCT(('LOG VẮNG'!$C$2:$C$1000&lt;&gt;"")*(YEAR('LOG VẮNG'!$C$2:$C$1000)=2026)*(MONTH('LOG VẮNG'!$C$2:$C$1000)=10)*ISNUMBER(SEARCH($A156,'LOG VẮNG'!$D$2:$D$1000))))</f>
        <v/>
      </c>
      <c r="M156" s="40">
        <f>IF($B156="","",SUMPRODUCT(('LOG VẮNG'!$C$2:$C$1000&lt;&gt;"")*(YEAR('LOG VẮNG'!$C$2:$C$1000)=2026)*(MONTH('LOG VẮNG'!$C$2:$C$1000)=11)*ISNUMBER(SEARCH($A156,'LOG VẮNG'!$D$2:$D$1000))))</f>
        <v/>
      </c>
      <c r="N156" s="40">
        <f>IF($B156="","",SUMPRODUCT(('LOG VẮNG'!$C$2:$C$1000&lt;&gt;"")*(YEAR('LOG VẮNG'!$C$2:$C$1000)=2026)*(MONTH('LOG VẮNG'!$C$2:$C$1000)=12)*ISNUMBER(SEARCH($A156,'LOG VẮNG'!$D$2:$D$1000))))</f>
        <v/>
      </c>
      <c r="O156" s="40">
        <f>IF($B156="","",SUM(C156:N156))</f>
        <v/>
      </c>
    </row>
    <row r="157">
      <c r="A157" s="40" t="inlineStr">
        <is>
          <t>ORI155</t>
        </is>
      </c>
      <c r="B157" s="46">
        <f>IFERROR(INDEX('HỌC VIÊN'!$B$4:$B$203,MATCH($A157,'HỌC VIÊN'!$A$4:$A$203,0)),"")</f>
        <v/>
      </c>
      <c r="C157" s="40">
        <f>IF($B157="","",SUMPRODUCT(('LOG VẮNG'!$C$2:$C$1000&lt;&gt;"")*(YEAR('LOG VẮNG'!$C$2:$C$1000)=2026)*(MONTH('LOG VẮNG'!$C$2:$C$1000)=1)*ISNUMBER(SEARCH($A157,'LOG VẮNG'!$D$2:$D$1000))))</f>
        <v/>
      </c>
      <c r="D157" s="40">
        <f>IF($B157="","",SUMPRODUCT(('LOG VẮNG'!$C$2:$C$1000&lt;&gt;"")*(YEAR('LOG VẮNG'!$C$2:$C$1000)=2026)*(MONTH('LOG VẮNG'!$C$2:$C$1000)=2)*ISNUMBER(SEARCH($A157,'LOG VẮNG'!$D$2:$D$1000))))</f>
        <v/>
      </c>
      <c r="E157" s="40">
        <f>IF($B157="","",SUMPRODUCT(('LOG VẮNG'!$C$2:$C$1000&lt;&gt;"")*(YEAR('LOG VẮNG'!$C$2:$C$1000)=2026)*(MONTH('LOG VẮNG'!$C$2:$C$1000)=3)*ISNUMBER(SEARCH($A157,'LOG VẮNG'!$D$2:$D$1000))))</f>
        <v/>
      </c>
      <c r="F157" s="40">
        <f>IF($B157="","",SUMPRODUCT(('LOG VẮNG'!$C$2:$C$1000&lt;&gt;"")*(YEAR('LOG VẮNG'!$C$2:$C$1000)=2026)*(MONTH('LOG VẮNG'!$C$2:$C$1000)=4)*ISNUMBER(SEARCH($A157,'LOG VẮNG'!$D$2:$D$1000))))</f>
        <v/>
      </c>
      <c r="G157" s="40">
        <f>IF($B157="","",SUMPRODUCT(('LOG VẮNG'!$C$2:$C$1000&lt;&gt;"")*(YEAR('LOG VẮNG'!$C$2:$C$1000)=2026)*(MONTH('LOG VẮNG'!$C$2:$C$1000)=5)*ISNUMBER(SEARCH($A157,'LOG VẮNG'!$D$2:$D$1000))))</f>
        <v/>
      </c>
      <c r="H157" s="40">
        <f>IF($B157="","",SUMPRODUCT(('LOG VẮNG'!$C$2:$C$1000&lt;&gt;"")*(YEAR('LOG VẮNG'!$C$2:$C$1000)=2026)*(MONTH('LOG VẮNG'!$C$2:$C$1000)=6)*ISNUMBER(SEARCH($A157,'LOG VẮNG'!$D$2:$D$1000))))</f>
        <v/>
      </c>
      <c r="I157" s="40">
        <f>IF($B157="","",SUMPRODUCT(('LOG VẮNG'!$C$2:$C$1000&lt;&gt;"")*(YEAR('LOG VẮNG'!$C$2:$C$1000)=2026)*(MONTH('LOG VẮNG'!$C$2:$C$1000)=7)*ISNUMBER(SEARCH($A157,'LOG VẮNG'!$D$2:$D$1000))))</f>
        <v/>
      </c>
      <c r="J157" s="40">
        <f>IF($B157="","",SUMPRODUCT(('LOG VẮNG'!$C$2:$C$1000&lt;&gt;"")*(YEAR('LOG VẮNG'!$C$2:$C$1000)=2026)*(MONTH('LOG VẮNG'!$C$2:$C$1000)=8)*ISNUMBER(SEARCH($A157,'LOG VẮNG'!$D$2:$D$1000))))</f>
        <v/>
      </c>
      <c r="K157" s="40">
        <f>IF($B157="","",SUMPRODUCT(('LOG VẮNG'!$C$2:$C$1000&lt;&gt;"")*(YEAR('LOG VẮNG'!$C$2:$C$1000)=2026)*(MONTH('LOG VẮNG'!$C$2:$C$1000)=9)*ISNUMBER(SEARCH($A157,'LOG VẮNG'!$D$2:$D$1000))))</f>
        <v/>
      </c>
      <c r="L157" s="40">
        <f>IF($B157="","",SUMPRODUCT(('LOG VẮNG'!$C$2:$C$1000&lt;&gt;"")*(YEAR('LOG VẮNG'!$C$2:$C$1000)=2026)*(MONTH('LOG VẮNG'!$C$2:$C$1000)=10)*ISNUMBER(SEARCH($A157,'LOG VẮNG'!$D$2:$D$1000))))</f>
        <v/>
      </c>
      <c r="M157" s="40">
        <f>IF($B157="","",SUMPRODUCT(('LOG VẮNG'!$C$2:$C$1000&lt;&gt;"")*(YEAR('LOG VẮNG'!$C$2:$C$1000)=2026)*(MONTH('LOG VẮNG'!$C$2:$C$1000)=11)*ISNUMBER(SEARCH($A157,'LOG VẮNG'!$D$2:$D$1000))))</f>
        <v/>
      </c>
      <c r="N157" s="40">
        <f>IF($B157="","",SUMPRODUCT(('LOG VẮNG'!$C$2:$C$1000&lt;&gt;"")*(YEAR('LOG VẮNG'!$C$2:$C$1000)=2026)*(MONTH('LOG VẮNG'!$C$2:$C$1000)=12)*ISNUMBER(SEARCH($A157,'LOG VẮNG'!$D$2:$D$1000))))</f>
        <v/>
      </c>
      <c r="O157" s="40">
        <f>IF($B157="","",SUM(C157:N157))</f>
        <v/>
      </c>
    </row>
    <row r="158">
      <c r="A158" s="40" t="inlineStr">
        <is>
          <t>ORI156</t>
        </is>
      </c>
      <c r="B158" s="46">
        <f>IFERROR(INDEX('HỌC VIÊN'!$B$4:$B$203,MATCH($A158,'HỌC VIÊN'!$A$4:$A$203,0)),"")</f>
        <v/>
      </c>
      <c r="C158" s="40">
        <f>IF($B158="","",SUMPRODUCT(('LOG VẮNG'!$C$2:$C$1000&lt;&gt;"")*(YEAR('LOG VẮNG'!$C$2:$C$1000)=2026)*(MONTH('LOG VẮNG'!$C$2:$C$1000)=1)*ISNUMBER(SEARCH($A158,'LOG VẮNG'!$D$2:$D$1000))))</f>
        <v/>
      </c>
      <c r="D158" s="40">
        <f>IF($B158="","",SUMPRODUCT(('LOG VẮNG'!$C$2:$C$1000&lt;&gt;"")*(YEAR('LOG VẮNG'!$C$2:$C$1000)=2026)*(MONTH('LOG VẮNG'!$C$2:$C$1000)=2)*ISNUMBER(SEARCH($A158,'LOG VẮNG'!$D$2:$D$1000))))</f>
        <v/>
      </c>
      <c r="E158" s="40">
        <f>IF($B158="","",SUMPRODUCT(('LOG VẮNG'!$C$2:$C$1000&lt;&gt;"")*(YEAR('LOG VẮNG'!$C$2:$C$1000)=2026)*(MONTH('LOG VẮNG'!$C$2:$C$1000)=3)*ISNUMBER(SEARCH($A158,'LOG VẮNG'!$D$2:$D$1000))))</f>
        <v/>
      </c>
      <c r="F158" s="40">
        <f>IF($B158="","",SUMPRODUCT(('LOG VẮNG'!$C$2:$C$1000&lt;&gt;"")*(YEAR('LOG VẮNG'!$C$2:$C$1000)=2026)*(MONTH('LOG VẮNG'!$C$2:$C$1000)=4)*ISNUMBER(SEARCH($A158,'LOG VẮNG'!$D$2:$D$1000))))</f>
        <v/>
      </c>
      <c r="G158" s="40">
        <f>IF($B158="","",SUMPRODUCT(('LOG VẮNG'!$C$2:$C$1000&lt;&gt;"")*(YEAR('LOG VẮNG'!$C$2:$C$1000)=2026)*(MONTH('LOG VẮNG'!$C$2:$C$1000)=5)*ISNUMBER(SEARCH($A158,'LOG VẮNG'!$D$2:$D$1000))))</f>
        <v/>
      </c>
      <c r="H158" s="40">
        <f>IF($B158="","",SUMPRODUCT(('LOG VẮNG'!$C$2:$C$1000&lt;&gt;"")*(YEAR('LOG VẮNG'!$C$2:$C$1000)=2026)*(MONTH('LOG VẮNG'!$C$2:$C$1000)=6)*ISNUMBER(SEARCH($A158,'LOG VẮNG'!$D$2:$D$1000))))</f>
        <v/>
      </c>
      <c r="I158" s="40">
        <f>IF($B158="","",SUMPRODUCT(('LOG VẮNG'!$C$2:$C$1000&lt;&gt;"")*(YEAR('LOG VẮNG'!$C$2:$C$1000)=2026)*(MONTH('LOG VẮNG'!$C$2:$C$1000)=7)*ISNUMBER(SEARCH($A158,'LOG VẮNG'!$D$2:$D$1000))))</f>
        <v/>
      </c>
      <c r="J158" s="40">
        <f>IF($B158="","",SUMPRODUCT(('LOG VẮNG'!$C$2:$C$1000&lt;&gt;"")*(YEAR('LOG VẮNG'!$C$2:$C$1000)=2026)*(MONTH('LOG VẮNG'!$C$2:$C$1000)=8)*ISNUMBER(SEARCH($A158,'LOG VẮNG'!$D$2:$D$1000))))</f>
        <v/>
      </c>
      <c r="K158" s="40">
        <f>IF($B158="","",SUMPRODUCT(('LOG VẮNG'!$C$2:$C$1000&lt;&gt;"")*(YEAR('LOG VẮNG'!$C$2:$C$1000)=2026)*(MONTH('LOG VẮNG'!$C$2:$C$1000)=9)*ISNUMBER(SEARCH($A158,'LOG VẮNG'!$D$2:$D$1000))))</f>
        <v/>
      </c>
      <c r="L158" s="40">
        <f>IF($B158="","",SUMPRODUCT(('LOG VẮNG'!$C$2:$C$1000&lt;&gt;"")*(YEAR('LOG VẮNG'!$C$2:$C$1000)=2026)*(MONTH('LOG VẮNG'!$C$2:$C$1000)=10)*ISNUMBER(SEARCH($A158,'LOG VẮNG'!$D$2:$D$1000))))</f>
        <v/>
      </c>
      <c r="M158" s="40">
        <f>IF($B158="","",SUMPRODUCT(('LOG VẮNG'!$C$2:$C$1000&lt;&gt;"")*(YEAR('LOG VẮNG'!$C$2:$C$1000)=2026)*(MONTH('LOG VẮNG'!$C$2:$C$1000)=11)*ISNUMBER(SEARCH($A158,'LOG VẮNG'!$D$2:$D$1000))))</f>
        <v/>
      </c>
      <c r="N158" s="40">
        <f>IF($B158="","",SUMPRODUCT(('LOG VẮNG'!$C$2:$C$1000&lt;&gt;"")*(YEAR('LOG VẮNG'!$C$2:$C$1000)=2026)*(MONTH('LOG VẮNG'!$C$2:$C$1000)=12)*ISNUMBER(SEARCH($A158,'LOG VẮNG'!$D$2:$D$1000))))</f>
        <v/>
      </c>
      <c r="O158" s="40">
        <f>IF($B158="","",SUM(C158:N158))</f>
        <v/>
      </c>
    </row>
    <row r="159">
      <c r="A159" s="40" t="inlineStr">
        <is>
          <t>ORI157</t>
        </is>
      </c>
      <c r="B159" s="46">
        <f>IFERROR(INDEX('HỌC VIÊN'!$B$4:$B$203,MATCH($A159,'HỌC VIÊN'!$A$4:$A$203,0)),"")</f>
        <v/>
      </c>
      <c r="C159" s="40">
        <f>IF($B159="","",SUMPRODUCT(('LOG VẮNG'!$C$2:$C$1000&lt;&gt;"")*(YEAR('LOG VẮNG'!$C$2:$C$1000)=2026)*(MONTH('LOG VẮNG'!$C$2:$C$1000)=1)*ISNUMBER(SEARCH($A159,'LOG VẮNG'!$D$2:$D$1000))))</f>
        <v/>
      </c>
      <c r="D159" s="40">
        <f>IF($B159="","",SUMPRODUCT(('LOG VẮNG'!$C$2:$C$1000&lt;&gt;"")*(YEAR('LOG VẮNG'!$C$2:$C$1000)=2026)*(MONTH('LOG VẮNG'!$C$2:$C$1000)=2)*ISNUMBER(SEARCH($A159,'LOG VẮNG'!$D$2:$D$1000))))</f>
        <v/>
      </c>
      <c r="E159" s="40">
        <f>IF($B159="","",SUMPRODUCT(('LOG VẮNG'!$C$2:$C$1000&lt;&gt;"")*(YEAR('LOG VẮNG'!$C$2:$C$1000)=2026)*(MONTH('LOG VẮNG'!$C$2:$C$1000)=3)*ISNUMBER(SEARCH($A159,'LOG VẮNG'!$D$2:$D$1000))))</f>
        <v/>
      </c>
      <c r="F159" s="40">
        <f>IF($B159="","",SUMPRODUCT(('LOG VẮNG'!$C$2:$C$1000&lt;&gt;"")*(YEAR('LOG VẮNG'!$C$2:$C$1000)=2026)*(MONTH('LOG VẮNG'!$C$2:$C$1000)=4)*ISNUMBER(SEARCH($A159,'LOG VẮNG'!$D$2:$D$1000))))</f>
        <v/>
      </c>
      <c r="G159" s="40">
        <f>IF($B159="","",SUMPRODUCT(('LOG VẮNG'!$C$2:$C$1000&lt;&gt;"")*(YEAR('LOG VẮNG'!$C$2:$C$1000)=2026)*(MONTH('LOG VẮNG'!$C$2:$C$1000)=5)*ISNUMBER(SEARCH($A159,'LOG VẮNG'!$D$2:$D$1000))))</f>
        <v/>
      </c>
      <c r="H159" s="40">
        <f>IF($B159="","",SUMPRODUCT(('LOG VẮNG'!$C$2:$C$1000&lt;&gt;"")*(YEAR('LOG VẮNG'!$C$2:$C$1000)=2026)*(MONTH('LOG VẮNG'!$C$2:$C$1000)=6)*ISNUMBER(SEARCH($A159,'LOG VẮNG'!$D$2:$D$1000))))</f>
        <v/>
      </c>
      <c r="I159" s="40">
        <f>IF($B159="","",SUMPRODUCT(('LOG VẮNG'!$C$2:$C$1000&lt;&gt;"")*(YEAR('LOG VẮNG'!$C$2:$C$1000)=2026)*(MONTH('LOG VẮNG'!$C$2:$C$1000)=7)*ISNUMBER(SEARCH($A159,'LOG VẮNG'!$D$2:$D$1000))))</f>
        <v/>
      </c>
      <c r="J159" s="40">
        <f>IF($B159="","",SUMPRODUCT(('LOG VẮNG'!$C$2:$C$1000&lt;&gt;"")*(YEAR('LOG VẮNG'!$C$2:$C$1000)=2026)*(MONTH('LOG VẮNG'!$C$2:$C$1000)=8)*ISNUMBER(SEARCH($A159,'LOG VẮNG'!$D$2:$D$1000))))</f>
        <v/>
      </c>
      <c r="K159" s="40">
        <f>IF($B159="","",SUMPRODUCT(('LOG VẮNG'!$C$2:$C$1000&lt;&gt;"")*(YEAR('LOG VẮNG'!$C$2:$C$1000)=2026)*(MONTH('LOG VẮNG'!$C$2:$C$1000)=9)*ISNUMBER(SEARCH($A159,'LOG VẮNG'!$D$2:$D$1000))))</f>
        <v/>
      </c>
      <c r="L159" s="40">
        <f>IF($B159="","",SUMPRODUCT(('LOG VẮNG'!$C$2:$C$1000&lt;&gt;"")*(YEAR('LOG VẮNG'!$C$2:$C$1000)=2026)*(MONTH('LOG VẮNG'!$C$2:$C$1000)=10)*ISNUMBER(SEARCH($A159,'LOG VẮNG'!$D$2:$D$1000))))</f>
        <v/>
      </c>
      <c r="M159" s="40">
        <f>IF($B159="","",SUMPRODUCT(('LOG VẮNG'!$C$2:$C$1000&lt;&gt;"")*(YEAR('LOG VẮNG'!$C$2:$C$1000)=2026)*(MONTH('LOG VẮNG'!$C$2:$C$1000)=11)*ISNUMBER(SEARCH($A159,'LOG VẮNG'!$D$2:$D$1000))))</f>
        <v/>
      </c>
      <c r="N159" s="40">
        <f>IF($B159="","",SUMPRODUCT(('LOG VẮNG'!$C$2:$C$1000&lt;&gt;"")*(YEAR('LOG VẮNG'!$C$2:$C$1000)=2026)*(MONTH('LOG VẮNG'!$C$2:$C$1000)=12)*ISNUMBER(SEARCH($A159,'LOG VẮNG'!$D$2:$D$1000))))</f>
        <v/>
      </c>
      <c r="O159" s="40">
        <f>IF($B159="","",SUM(C159:N159))</f>
        <v/>
      </c>
    </row>
    <row r="160">
      <c r="A160" s="40" t="inlineStr">
        <is>
          <t>ORI158</t>
        </is>
      </c>
      <c r="B160" s="46">
        <f>IFERROR(INDEX('HỌC VIÊN'!$B$4:$B$203,MATCH($A160,'HỌC VIÊN'!$A$4:$A$203,0)),"")</f>
        <v/>
      </c>
      <c r="C160" s="40">
        <f>IF($B160="","",SUMPRODUCT(('LOG VẮNG'!$C$2:$C$1000&lt;&gt;"")*(YEAR('LOG VẮNG'!$C$2:$C$1000)=2026)*(MONTH('LOG VẮNG'!$C$2:$C$1000)=1)*ISNUMBER(SEARCH($A160,'LOG VẮNG'!$D$2:$D$1000))))</f>
        <v/>
      </c>
      <c r="D160" s="40">
        <f>IF($B160="","",SUMPRODUCT(('LOG VẮNG'!$C$2:$C$1000&lt;&gt;"")*(YEAR('LOG VẮNG'!$C$2:$C$1000)=2026)*(MONTH('LOG VẮNG'!$C$2:$C$1000)=2)*ISNUMBER(SEARCH($A160,'LOG VẮNG'!$D$2:$D$1000))))</f>
        <v/>
      </c>
      <c r="E160" s="40">
        <f>IF($B160="","",SUMPRODUCT(('LOG VẮNG'!$C$2:$C$1000&lt;&gt;"")*(YEAR('LOG VẮNG'!$C$2:$C$1000)=2026)*(MONTH('LOG VẮNG'!$C$2:$C$1000)=3)*ISNUMBER(SEARCH($A160,'LOG VẮNG'!$D$2:$D$1000))))</f>
        <v/>
      </c>
      <c r="F160" s="40">
        <f>IF($B160="","",SUMPRODUCT(('LOG VẮNG'!$C$2:$C$1000&lt;&gt;"")*(YEAR('LOG VẮNG'!$C$2:$C$1000)=2026)*(MONTH('LOG VẮNG'!$C$2:$C$1000)=4)*ISNUMBER(SEARCH($A160,'LOG VẮNG'!$D$2:$D$1000))))</f>
        <v/>
      </c>
      <c r="G160" s="40">
        <f>IF($B160="","",SUMPRODUCT(('LOG VẮNG'!$C$2:$C$1000&lt;&gt;"")*(YEAR('LOG VẮNG'!$C$2:$C$1000)=2026)*(MONTH('LOG VẮNG'!$C$2:$C$1000)=5)*ISNUMBER(SEARCH($A160,'LOG VẮNG'!$D$2:$D$1000))))</f>
        <v/>
      </c>
      <c r="H160" s="40">
        <f>IF($B160="","",SUMPRODUCT(('LOG VẮNG'!$C$2:$C$1000&lt;&gt;"")*(YEAR('LOG VẮNG'!$C$2:$C$1000)=2026)*(MONTH('LOG VẮNG'!$C$2:$C$1000)=6)*ISNUMBER(SEARCH($A160,'LOG VẮNG'!$D$2:$D$1000))))</f>
        <v/>
      </c>
      <c r="I160" s="40">
        <f>IF($B160="","",SUMPRODUCT(('LOG VẮNG'!$C$2:$C$1000&lt;&gt;"")*(YEAR('LOG VẮNG'!$C$2:$C$1000)=2026)*(MONTH('LOG VẮNG'!$C$2:$C$1000)=7)*ISNUMBER(SEARCH($A160,'LOG VẮNG'!$D$2:$D$1000))))</f>
        <v/>
      </c>
      <c r="J160" s="40">
        <f>IF($B160="","",SUMPRODUCT(('LOG VẮNG'!$C$2:$C$1000&lt;&gt;"")*(YEAR('LOG VẮNG'!$C$2:$C$1000)=2026)*(MONTH('LOG VẮNG'!$C$2:$C$1000)=8)*ISNUMBER(SEARCH($A160,'LOG VẮNG'!$D$2:$D$1000))))</f>
        <v/>
      </c>
      <c r="K160" s="40">
        <f>IF($B160="","",SUMPRODUCT(('LOG VẮNG'!$C$2:$C$1000&lt;&gt;"")*(YEAR('LOG VẮNG'!$C$2:$C$1000)=2026)*(MONTH('LOG VẮNG'!$C$2:$C$1000)=9)*ISNUMBER(SEARCH($A160,'LOG VẮNG'!$D$2:$D$1000))))</f>
        <v/>
      </c>
      <c r="L160" s="40">
        <f>IF($B160="","",SUMPRODUCT(('LOG VẮNG'!$C$2:$C$1000&lt;&gt;"")*(YEAR('LOG VẮNG'!$C$2:$C$1000)=2026)*(MONTH('LOG VẮNG'!$C$2:$C$1000)=10)*ISNUMBER(SEARCH($A160,'LOG VẮNG'!$D$2:$D$1000))))</f>
        <v/>
      </c>
      <c r="M160" s="40">
        <f>IF($B160="","",SUMPRODUCT(('LOG VẮNG'!$C$2:$C$1000&lt;&gt;"")*(YEAR('LOG VẮNG'!$C$2:$C$1000)=2026)*(MONTH('LOG VẮNG'!$C$2:$C$1000)=11)*ISNUMBER(SEARCH($A160,'LOG VẮNG'!$D$2:$D$1000))))</f>
        <v/>
      </c>
      <c r="N160" s="40">
        <f>IF($B160="","",SUMPRODUCT(('LOG VẮNG'!$C$2:$C$1000&lt;&gt;"")*(YEAR('LOG VẮNG'!$C$2:$C$1000)=2026)*(MONTH('LOG VẮNG'!$C$2:$C$1000)=12)*ISNUMBER(SEARCH($A160,'LOG VẮNG'!$D$2:$D$1000))))</f>
        <v/>
      </c>
      <c r="O160" s="40">
        <f>IF($B160="","",SUM(C160:N160))</f>
        <v/>
      </c>
    </row>
    <row r="161">
      <c r="A161" s="40" t="inlineStr">
        <is>
          <t>ORI159</t>
        </is>
      </c>
      <c r="B161" s="46">
        <f>IFERROR(INDEX('HỌC VIÊN'!$B$4:$B$203,MATCH($A161,'HỌC VIÊN'!$A$4:$A$203,0)),"")</f>
        <v/>
      </c>
      <c r="C161" s="40">
        <f>IF($B161="","",SUMPRODUCT(('LOG VẮNG'!$C$2:$C$1000&lt;&gt;"")*(YEAR('LOG VẮNG'!$C$2:$C$1000)=2026)*(MONTH('LOG VẮNG'!$C$2:$C$1000)=1)*ISNUMBER(SEARCH($A161,'LOG VẮNG'!$D$2:$D$1000))))</f>
        <v/>
      </c>
      <c r="D161" s="40">
        <f>IF($B161="","",SUMPRODUCT(('LOG VẮNG'!$C$2:$C$1000&lt;&gt;"")*(YEAR('LOG VẮNG'!$C$2:$C$1000)=2026)*(MONTH('LOG VẮNG'!$C$2:$C$1000)=2)*ISNUMBER(SEARCH($A161,'LOG VẮNG'!$D$2:$D$1000))))</f>
        <v/>
      </c>
      <c r="E161" s="40">
        <f>IF($B161="","",SUMPRODUCT(('LOG VẮNG'!$C$2:$C$1000&lt;&gt;"")*(YEAR('LOG VẮNG'!$C$2:$C$1000)=2026)*(MONTH('LOG VẮNG'!$C$2:$C$1000)=3)*ISNUMBER(SEARCH($A161,'LOG VẮNG'!$D$2:$D$1000))))</f>
        <v/>
      </c>
      <c r="F161" s="40">
        <f>IF($B161="","",SUMPRODUCT(('LOG VẮNG'!$C$2:$C$1000&lt;&gt;"")*(YEAR('LOG VẮNG'!$C$2:$C$1000)=2026)*(MONTH('LOG VẮNG'!$C$2:$C$1000)=4)*ISNUMBER(SEARCH($A161,'LOG VẮNG'!$D$2:$D$1000))))</f>
        <v/>
      </c>
      <c r="G161" s="40">
        <f>IF($B161="","",SUMPRODUCT(('LOG VẮNG'!$C$2:$C$1000&lt;&gt;"")*(YEAR('LOG VẮNG'!$C$2:$C$1000)=2026)*(MONTH('LOG VẮNG'!$C$2:$C$1000)=5)*ISNUMBER(SEARCH($A161,'LOG VẮNG'!$D$2:$D$1000))))</f>
        <v/>
      </c>
      <c r="H161" s="40">
        <f>IF($B161="","",SUMPRODUCT(('LOG VẮNG'!$C$2:$C$1000&lt;&gt;"")*(YEAR('LOG VẮNG'!$C$2:$C$1000)=2026)*(MONTH('LOG VẮNG'!$C$2:$C$1000)=6)*ISNUMBER(SEARCH($A161,'LOG VẮNG'!$D$2:$D$1000))))</f>
        <v/>
      </c>
      <c r="I161" s="40">
        <f>IF($B161="","",SUMPRODUCT(('LOG VẮNG'!$C$2:$C$1000&lt;&gt;"")*(YEAR('LOG VẮNG'!$C$2:$C$1000)=2026)*(MONTH('LOG VẮNG'!$C$2:$C$1000)=7)*ISNUMBER(SEARCH($A161,'LOG VẮNG'!$D$2:$D$1000))))</f>
        <v/>
      </c>
      <c r="J161" s="40">
        <f>IF($B161="","",SUMPRODUCT(('LOG VẮNG'!$C$2:$C$1000&lt;&gt;"")*(YEAR('LOG VẮNG'!$C$2:$C$1000)=2026)*(MONTH('LOG VẮNG'!$C$2:$C$1000)=8)*ISNUMBER(SEARCH($A161,'LOG VẮNG'!$D$2:$D$1000))))</f>
        <v/>
      </c>
      <c r="K161" s="40">
        <f>IF($B161="","",SUMPRODUCT(('LOG VẮNG'!$C$2:$C$1000&lt;&gt;"")*(YEAR('LOG VẮNG'!$C$2:$C$1000)=2026)*(MONTH('LOG VẮNG'!$C$2:$C$1000)=9)*ISNUMBER(SEARCH($A161,'LOG VẮNG'!$D$2:$D$1000))))</f>
        <v/>
      </c>
      <c r="L161" s="40">
        <f>IF($B161="","",SUMPRODUCT(('LOG VẮNG'!$C$2:$C$1000&lt;&gt;"")*(YEAR('LOG VẮNG'!$C$2:$C$1000)=2026)*(MONTH('LOG VẮNG'!$C$2:$C$1000)=10)*ISNUMBER(SEARCH($A161,'LOG VẮNG'!$D$2:$D$1000))))</f>
        <v/>
      </c>
      <c r="M161" s="40">
        <f>IF($B161="","",SUMPRODUCT(('LOG VẮNG'!$C$2:$C$1000&lt;&gt;"")*(YEAR('LOG VẮNG'!$C$2:$C$1000)=2026)*(MONTH('LOG VẮNG'!$C$2:$C$1000)=11)*ISNUMBER(SEARCH($A161,'LOG VẮNG'!$D$2:$D$1000))))</f>
        <v/>
      </c>
      <c r="N161" s="40">
        <f>IF($B161="","",SUMPRODUCT(('LOG VẮNG'!$C$2:$C$1000&lt;&gt;"")*(YEAR('LOG VẮNG'!$C$2:$C$1000)=2026)*(MONTH('LOG VẮNG'!$C$2:$C$1000)=12)*ISNUMBER(SEARCH($A161,'LOG VẮNG'!$D$2:$D$1000))))</f>
        <v/>
      </c>
      <c r="O161" s="40">
        <f>IF($B161="","",SUM(C161:N161))</f>
        <v/>
      </c>
    </row>
    <row r="162">
      <c r="A162" s="40" t="inlineStr">
        <is>
          <t>ORI160</t>
        </is>
      </c>
      <c r="B162" s="46">
        <f>IFERROR(INDEX('HỌC VIÊN'!$B$4:$B$203,MATCH($A162,'HỌC VIÊN'!$A$4:$A$203,0)),"")</f>
        <v/>
      </c>
      <c r="C162" s="40">
        <f>IF($B162="","",SUMPRODUCT(('LOG VẮNG'!$C$2:$C$1000&lt;&gt;"")*(YEAR('LOG VẮNG'!$C$2:$C$1000)=2026)*(MONTH('LOG VẮNG'!$C$2:$C$1000)=1)*ISNUMBER(SEARCH($A162,'LOG VẮNG'!$D$2:$D$1000))))</f>
        <v/>
      </c>
      <c r="D162" s="40">
        <f>IF($B162="","",SUMPRODUCT(('LOG VẮNG'!$C$2:$C$1000&lt;&gt;"")*(YEAR('LOG VẮNG'!$C$2:$C$1000)=2026)*(MONTH('LOG VẮNG'!$C$2:$C$1000)=2)*ISNUMBER(SEARCH($A162,'LOG VẮNG'!$D$2:$D$1000))))</f>
        <v/>
      </c>
      <c r="E162" s="40">
        <f>IF($B162="","",SUMPRODUCT(('LOG VẮNG'!$C$2:$C$1000&lt;&gt;"")*(YEAR('LOG VẮNG'!$C$2:$C$1000)=2026)*(MONTH('LOG VẮNG'!$C$2:$C$1000)=3)*ISNUMBER(SEARCH($A162,'LOG VẮNG'!$D$2:$D$1000))))</f>
        <v/>
      </c>
      <c r="F162" s="40">
        <f>IF($B162="","",SUMPRODUCT(('LOG VẮNG'!$C$2:$C$1000&lt;&gt;"")*(YEAR('LOG VẮNG'!$C$2:$C$1000)=2026)*(MONTH('LOG VẮNG'!$C$2:$C$1000)=4)*ISNUMBER(SEARCH($A162,'LOG VẮNG'!$D$2:$D$1000))))</f>
        <v/>
      </c>
      <c r="G162" s="40">
        <f>IF($B162="","",SUMPRODUCT(('LOG VẮNG'!$C$2:$C$1000&lt;&gt;"")*(YEAR('LOG VẮNG'!$C$2:$C$1000)=2026)*(MONTH('LOG VẮNG'!$C$2:$C$1000)=5)*ISNUMBER(SEARCH($A162,'LOG VẮNG'!$D$2:$D$1000))))</f>
        <v/>
      </c>
      <c r="H162" s="40">
        <f>IF($B162="","",SUMPRODUCT(('LOG VẮNG'!$C$2:$C$1000&lt;&gt;"")*(YEAR('LOG VẮNG'!$C$2:$C$1000)=2026)*(MONTH('LOG VẮNG'!$C$2:$C$1000)=6)*ISNUMBER(SEARCH($A162,'LOG VẮNG'!$D$2:$D$1000))))</f>
        <v/>
      </c>
      <c r="I162" s="40">
        <f>IF($B162="","",SUMPRODUCT(('LOG VẮNG'!$C$2:$C$1000&lt;&gt;"")*(YEAR('LOG VẮNG'!$C$2:$C$1000)=2026)*(MONTH('LOG VẮNG'!$C$2:$C$1000)=7)*ISNUMBER(SEARCH($A162,'LOG VẮNG'!$D$2:$D$1000))))</f>
        <v/>
      </c>
      <c r="J162" s="40">
        <f>IF($B162="","",SUMPRODUCT(('LOG VẮNG'!$C$2:$C$1000&lt;&gt;"")*(YEAR('LOG VẮNG'!$C$2:$C$1000)=2026)*(MONTH('LOG VẮNG'!$C$2:$C$1000)=8)*ISNUMBER(SEARCH($A162,'LOG VẮNG'!$D$2:$D$1000))))</f>
        <v/>
      </c>
      <c r="K162" s="40">
        <f>IF($B162="","",SUMPRODUCT(('LOG VẮNG'!$C$2:$C$1000&lt;&gt;"")*(YEAR('LOG VẮNG'!$C$2:$C$1000)=2026)*(MONTH('LOG VẮNG'!$C$2:$C$1000)=9)*ISNUMBER(SEARCH($A162,'LOG VẮNG'!$D$2:$D$1000))))</f>
        <v/>
      </c>
      <c r="L162" s="40">
        <f>IF($B162="","",SUMPRODUCT(('LOG VẮNG'!$C$2:$C$1000&lt;&gt;"")*(YEAR('LOG VẮNG'!$C$2:$C$1000)=2026)*(MONTH('LOG VẮNG'!$C$2:$C$1000)=10)*ISNUMBER(SEARCH($A162,'LOG VẮNG'!$D$2:$D$1000))))</f>
        <v/>
      </c>
      <c r="M162" s="40">
        <f>IF($B162="","",SUMPRODUCT(('LOG VẮNG'!$C$2:$C$1000&lt;&gt;"")*(YEAR('LOG VẮNG'!$C$2:$C$1000)=2026)*(MONTH('LOG VẮNG'!$C$2:$C$1000)=11)*ISNUMBER(SEARCH($A162,'LOG VẮNG'!$D$2:$D$1000))))</f>
        <v/>
      </c>
      <c r="N162" s="40">
        <f>IF($B162="","",SUMPRODUCT(('LOG VẮNG'!$C$2:$C$1000&lt;&gt;"")*(YEAR('LOG VẮNG'!$C$2:$C$1000)=2026)*(MONTH('LOG VẮNG'!$C$2:$C$1000)=12)*ISNUMBER(SEARCH($A162,'LOG VẮNG'!$D$2:$D$1000))))</f>
        <v/>
      </c>
      <c r="O162" s="40">
        <f>IF($B162="","",SUM(C162:N162))</f>
        <v/>
      </c>
    </row>
    <row r="163">
      <c r="A163" s="40" t="inlineStr">
        <is>
          <t>ORI161</t>
        </is>
      </c>
      <c r="B163" s="46">
        <f>IFERROR(INDEX('HỌC VIÊN'!$B$4:$B$203,MATCH($A163,'HỌC VIÊN'!$A$4:$A$203,0)),"")</f>
        <v/>
      </c>
      <c r="C163" s="40">
        <f>IF($B163="","",SUMPRODUCT(('LOG VẮNG'!$C$2:$C$1000&lt;&gt;"")*(YEAR('LOG VẮNG'!$C$2:$C$1000)=2026)*(MONTH('LOG VẮNG'!$C$2:$C$1000)=1)*ISNUMBER(SEARCH($A163,'LOG VẮNG'!$D$2:$D$1000))))</f>
        <v/>
      </c>
      <c r="D163" s="40">
        <f>IF($B163="","",SUMPRODUCT(('LOG VẮNG'!$C$2:$C$1000&lt;&gt;"")*(YEAR('LOG VẮNG'!$C$2:$C$1000)=2026)*(MONTH('LOG VẮNG'!$C$2:$C$1000)=2)*ISNUMBER(SEARCH($A163,'LOG VẮNG'!$D$2:$D$1000))))</f>
        <v/>
      </c>
      <c r="E163" s="40">
        <f>IF($B163="","",SUMPRODUCT(('LOG VẮNG'!$C$2:$C$1000&lt;&gt;"")*(YEAR('LOG VẮNG'!$C$2:$C$1000)=2026)*(MONTH('LOG VẮNG'!$C$2:$C$1000)=3)*ISNUMBER(SEARCH($A163,'LOG VẮNG'!$D$2:$D$1000))))</f>
        <v/>
      </c>
      <c r="F163" s="40">
        <f>IF($B163="","",SUMPRODUCT(('LOG VẮNG'!$C$2:$C$1000&lt;&gt;"")*(YEAR('LOG VẮNG'!$C$2:$C$1000)=2026)*(MONTH('LOG VẮNG'!$C$2:$C$1000)=4)*ISNUMBER(SEARCH($A163,'LOG VẮNG'!$D$2:$D$1000))))</f>
        <v/>
      </c>
      <c r="G163" s="40">
        <f>IF($B163="","",SUMPRODUCT(('LOG VẮNG'!$C$2:$C$1000&lt;&gt;"")*(YEAR('LOG VẮNG'!$C$2:$C$1000)=2026)*(MONTH('LOG VẮNG'!$C$2:$C$1000)=5)*ISNUMBER(SEARCH($A163,'LOG VẮNG'!$D$2:$D$1000))))</f>
        <v/>
      </c>
      <c r="H163" s="40">
        <f>IF($B163="","",SUMPRODUCT(('LOG VẮNG'!$C$2:$C$1000&lt;&gt;"")*(YEAR('LOG VẮNG'!$C$2:$C$1000)=2026)*(MONTH('LOG VẮNG'!$C$2:$C$1000)=6)*ISNUMBER(SEARCH($A163,'LOG VẮNG'!$D$2:$D$1000))))</f>
        <v/>
      </c>
      <c r="I163" s="40">
        <f>IF($B163="","",SUMPRODUCT(('LOG VẮNG'!$C$2:$C$1000&lt;&gt;"")*(YEAR('LOG VẮNG'!$C$2:$C$1000)=2026)*(MONTH('LOG VẮNG'!$C$2:$C$1000)=7)*ISNUMBER(SEARCH($A163,'LOG VẮNG'!$D$2:$D$1000))))</f>
        <v/>
      </c>
      <c r="J163" s="40">
        <f>IF($B163="","",SUMPRODUCT(('LOG VẮNG'!$C$2:$C$1000&lt;&gt;"")*(YEAR('LOG VẮNG'!$C$2:$C$1000)=2026)*(MONTH('LOG VẮNG'!$C$2:$C$1000)=8)*ISNUMBER(SEARCH($A163,'LOG VẮNG'!$D$2:$D$1000))))</f>
        <v/>
      </c>
      <c r="K163" s="40">
        <f>IF($B163="","",SUMPRODUCT(('LOG VẮNG'!$C$2:$C$1000&lt;&gt;"")*(YEAR('LOG VẮNG'!$C$2:$C$1000)=2026)*(MONTH('LOG VẮNG'!$C$2:$C$1000)=9)*ISNUMBER(SEARCH($A163,'LOG VẮNG'!$D$2:$D$1000))))</f>
        <v/>
      </c>
      <c r="L163" s="40">
        <f>IF($B163="","",SUMPRODUCT(('LOG VẮNG'!$C$2:$C$1000&lt;&gt;"")*(YEAR('LOG VẮNG'!$C$2:$C$1000)=2026)*(MONTH('LOG VẮNG'!$C$2:$C$1000)=10)*ISNUMBER(SEARCH($A163,'LOG VẮNG'!$D$2:$D$1000))))</f>
        <v/>
      </c>
      <c r="M163" s="40">
        <f>IF($B163="","",SUMPRODUCT(('LOG VẮNG'!$C$2:$C$1000&lt;&gt;"")*(YEAR('LOG VẮNG'!$C$2:$C$1000)=2026)*(MONTH('LOG VẮNG'!$C$2:$C$1000)=11)*ISNUMBER(SEARCH($A163,'LOG VẮNG'!$D$2:$D$1000))))</f>
        <v/>
      </c>
      <c r="N163" s="40">
        <f>IF($B163="","",SUMPRODUCT(('LOG VẮNG'!$C$2:$C$1000&lt;&gt;"")*(YEAR('LOG VẮNG'!$C$2:$C$1000)=2026)*(MONTH('LOG VẮNG'!$C$2:$C$1000)=12)*ISNUMBER(SEARCH($A163,'LOG VẮNG'!$D$2:$D$1000))))</f>
        <v/>
      </c>
      <c r="O163" s="40">
        <f>IF($B163="","",SUM(C163:N163))</f>
        <v/>
      </c>
    </row>
    <row r="164">
      <c r="A164" s="40" t="inlineStr">
        <is>
          <t>ORI162</t>
        </is>
      </c>
      <c r="B164" s="46">
        <f>IFERROR(INDEX('HỌC VIÊN'!$B$4:$B$203,MATCH($A164,'HỌC VIÊN'!$A$4:$A$203,0)),"")</f>
        <v/>
      </c>
      <c r="C164" s="40">
        <f>IF($B164="","",SUMPRODUCT(('LOG VẮNG'!$C$2:$C$1000&lt;&gt;"")*(YEAR('LOG VẮNG'!$C$2:$C$1000)=2026)*(MONTH('LOG VẮNG'!$C$2:$C$1000)=1)*ISNUMBER(SEARCH($A164,'LOG VẮNG'!$D$2:$D$1000))))</f>
        <v/>
      </c>
      <c r="D164" s="40">
        <f>IF($B164="","",SUMPRODUCT(('LOG VẮNG'!$C$2:$C$1000&lt;&gt;"")*(YEAR('LOG VẮNG'!$C$2:$C$1000)=2026)*(MONTH('LOG VẮNG'!$C$2:$C$1000)=2)*ISNUMBER(SEARCH($A164,'LOG VẮNG'!$D$2:$D$1000))))</f>
        <v/>
      </c>
      <c r="E164" s="40">
        <f>IF($B164="","",SUMPRODUCT(('LOG VẮNG'!$C$2:$C$1000&lt;&gt;"")*(YEAR('LOG VẮNG'!$C$2:$C$1000)=2026)*(MONTH('LOG VẮNG'!$C$2:$C$1000)=3)*ISNUMBER(SEARCH($A164,'LOG VẮNG'!$D$2:$D$1000))))</f>
        <v/>
      </c>
      <c r="F164" s="40">
        <f>IF($B164="","",SUMPRODUCT(('LOG VẮNG'!$C$2:$C$1000&lt;&gt;"")*(YEAR('LOG VẮNG'!$C$2:$C$1000)=2026)*(MONTH('LOG VẮNG'!$C$2:$C$1000)=4)*ISNUMBER(SEARCH($A164,'LOG VẮNG'!$D$2:$D$1000))))</f>
        <v/>
      </c>
      <c r="G164" s="40">
        <f>IF($B164="","",SUMPRODUCT(('LOG VẮNG'!$C$2:$C$1000&lt;&gt;"")*(YEAR('LOG VẮNG'!$C$2:$C$1000)=2026)*(MONTH('LOG VẮNG'!$C$2:$C$1000)=5)*ISNUMBER(SEARCH($A164,'LOG VẮNG'!$D$2:$D$1000))))</f>
        <v/>
      </c>
      <c r="H164" s="40">
        <f>IF($B164="","",SUMPRODUCT(('LOG VẮNG'!$C$2:$C$1000&lt;&gt;"")*(YEAR('LOG VẮNG'!$C$2:$C$1000)=2026)*(MONTH('LOG VẮNG'!$C$2:$C$1000)=6)*ISNUMBER(SEARCH($A164,'LOG VẮNG'!$D$2:$D$1000))))</f>
        <v/>
      </c>
      <c r="I164" s="40">
        <f>IF($B164="","",SUMPRODUCT(('LOG VẮNG'!$C$2:$C$1000&lt;&gt;"")*(YEAR('LOG VẮNG'!$C$2:$C$1000)=2026)*(MONTH('LOG VẮNG'!$C$2:$C$1000)=7)*ISNUMBER(SEARCH($A164,'LOG VẮNG'!$D$2:$D$1000))))</f>
        <v/>
      </c>
      <c r="J164" s="40">
        <f>IF($B164="","",SUMPRODUCT(('LOG VẮNG'!$C$2:$C$1000&lt;&gt;"")*(YEAR('LOG VẮNG'!$C$2:$C$1000)=2026)*(MONTH('LOG VẮNG'!$C$2:$C$1000)=8)*ISNUMBER(SEARCH($A164,'LOG VẮNG'!$D$2:$D$1000))))</f>
        <v/>
      </c>
      <c r="K164" s="40">
        <f>IF($B164="","",SUMPRODUCT(('LOG VẮNG'!$C$2:$C$1000&lt;&gt;"")*(YEAR('LOG VẮNG'!$C$2:$C$1000)=2026)*(MONTH('LOG VẮNG'!$C$2:$C$1000)=9)*ISNUMBER(SEARCH($A164,'LOG VẮNG'!$D$2:$D$1000))))</f>
        <v/>
      </c>
      <c r="L164" s="40">
        <f>IF($B164="","",SUMPRODUCT(('LOG VẮNG'!$C$2:$C$1000&lt;&gt;"")*(YEAR('LOG VẮNG'!$C$2:$C$1000)=2026)*(MONTH('LOG VẮNG'!$C$2:$C$1000)=10)*ISNUMBER(SEARCH($A164,'LOG VẮNG'!$D$2:$D$1000))))</f>
        <v/>
      </c>
      <c r="M164" s="40">
        <f>IF($B164="","",SUMPRODUCT(('LOG VẮNG'!$C$2:$C$1000&lt;&gt;"")*(YEAR('LOG VẮNG'!$C$2:$C$1000)=2026)*(MONTH('LOG VẮNG'!$C$2:$C$1000)=11)*ISNUMBER(SEARCH($A164,'LOG VẮNG'!$D$2:$D$1000))))</f>
        <v/>
      </c>
      <c r="N164" s="40">
        <f>IF($B164="","",SUMPRODUCT(('LOG VẮNG'!$C$2:$C$1000&lt;&gt;"")*(YEAR('LOG VẮNG'!$C$2:$C$1000)=2026)*(MONTH('LOG VẮNG'!$C$2:$C$1000)=12)*ISNUMBER(SEARCH($A164,'LOG VẮNG'!$D$2:$D$1000))))</f>
        <v/>
      </c>
      <c r="O164" s="40">
        <f>IF($B164="","",SUM(C164:N164))</f>
        <v/>
      </c>
    </row>
    <row r="165">
      <c r="A165" s="40" t="inlineStr">
        <is>
          <t>ORI163</t>
        </is>
      </c>
      <c r="B165" s="46">
        <f>IFERROR(INDEX('HỌC VIÊN'!$B$4:$B$203,MATCH($A165,'HỌC VIÊN'!$A$4:$A$203,0)),"")</f>
        <v/>
      </c>
      <c r="C165" s="40">
        <f>IF($B165="","",SUMPRODUCT(('LOG VẮNG'!$C$2:$C$1000&lt;&gt;"")*(YEAR('LOG VẮNG'!$C$2:$C$1000)=2026)*(MONTH('LOG VẮNG'!$C$2:$C$1000)=1)*ISNUMBER(SEARCH($A165,'LOG VẮNG'!$D$2:$D$1000))))</f>
        <v/>
      </c>
      <c r="D165" s="40">
        <f>IF($B165="","",SUMPRODUCT(('LOG VẮNG'!$C$2:$C$1000&lt;&gt;"")*(YEAR('LOG VẮNG'!$C$2:$C$1000)=2026)*(MONTH('LOG VẮNG'!$C$2:$C$1000)=2)*ISNUMBER(SEARCH($A165,'LOG VẮNG'!$D$2:$D$1000))))</f>
        <v/>
      </c>
      <c r="E165" s="40">
        <f>IF($B165="","",SUMPRODUCT(('LOG VẮNG'!$C$2:$C$1000&lt;&gt;"")*(YEAR('LOG VẮNG'!$C$2:$C$1000)=2026)*(MONTH('LOG VẮNG'!$C$2:$C$1000)=3)*ISNUMBER(SEARCH($A165,'LOG VẮNG'!$D$2:$D$1000))))</f>
        <v/>
      </c>
      <c r="F165" s="40">
        <f>IF($B165="","",SUMPRODUCT(('LOG VẮNG'!$C$2:$C$1000&lt;&gt;"")*(YEAR('LOG VẮNG'!$C$2:$C$1000)=2026)*(MONTH('LOG VẮNG'!$C$2:$C$1000)=4)*ISNUMBER(SEARCH($A165,'LOG VẮNG'!$D$2:$D$1000))))</f>
        <v/>
      </c>
      <c r="G165" s="40">
        <f>IF($B165="","",SUMPRODUCT(('LOG VẮNG'!$C$2:$C$1000&lt;&gt;"")*(YEAR('LOG VẮNG'!$C$2:$C$1000)=2026)*(MONTH('LOG VẮNG'!$C$2:$C$1000)=5)*ISNUMBER(SEARCH($A165,'LOG VẮNG'!$D$2:$D$1000))))</f>
        <v/>
      </c>
      <c r="H165" s="40">
        <f>IF($B165="","",SUMPRODUCT(('LOG VẮNG'!$C$2:$C$1000&lt;&gt;"")*(YEAR('LOG VẮNG'!$C$2:$C$1000)=2026)*(MONTH('LOG VẮNG'!$C$2:$C$1000)=6)*ISNUMBER(SEARCH($A165,'LOG VẮNG'!$D$2:$D$1000))))</f>
        <v/>
      </c>
      <c r="I165" s="40">
        <f>IF($B165="","",SUMPRODUCT(('LOG VẮNG'!$C$2:$C$1000&lt;&gt;"")*(YEAR('LOG VẮNG'!$C$2:$C$1000)=2026)*(MONTH('LOG VẮNG'!$C$2:$C$1000)=7)*ISNUMBER(SEARCH($A165,'LOG VẮNG'!$D$2:$D$1000))))</f>
        <v/>
      </c>
      <c r="J165" s="40">
        <f>IF($B165="","",SUMPRODUCT(('LOG VẮNG'!$C$2:$C$1000&lt;&gt;"")*(YEAR('LOG VẮNG'!$C$2:$C$1000)=2026)*(MONTH('LOG VẮNG'!$C$2:$C$1000)=8)*ISNUMBER(SEARCH($A165,'LOG VẮNG'!$D$2:$D$1000))))</f>
        <v/>
      </c>
      <c r="K165" s="40">
        <f>IF($B165="","",SUMPRODUCT(('LOG VẮNG'!$C$2:$C$1000&lt;&gt;"")*(YEAR('LOG VẮNG'!$C$2:$C$1000)=2026)*(MONTH('LOG VẮNG'!$C$2:$C$1000)=9)*ISNUMBER(SEARCH($A165,'LOG VẮNG'!$D$2:$D$1000))))</f>
        <v/>
      </c>
      <c r="L165" s="40">
        <f>IF($B165="","",SUMPRODUCT(('LOG VẮNG'!$C$2:$C$1000&lt;&gt;"")*(YEAR('LOG VẮNG'!$C$2:$C$1000)=2026)*(MONTH('LOG VẮNG'!$C$2:$C$1000)=10)*ISNUMBER(SEARCH($A165,'LOG VẮNG'!$D$2:$D$1000))))</f>
        <v/>
      </c>
      <c r="M165" s="40">
        <f>IF($B165="","",SUMPRODUCT(('LOG VẮNG'!$C$2:$C$1000&lt;&gt;"")*(YEAR('LOG VẮNG'!$C$2:$C$1000)=2026)*(MONTH('LOG VẮNG'!$C$2:$C$1000)=11)*ISNUMBER(SEARCH($A165,'LOG VẮNG'!$D$2:$D$1000))))</f>
        <v/>
      </c>
      <c r="N165" s="40">
        <f>IF($B165="","",SUMPRODUCT(('LOG VẮNG'!$C$2:$C$1000&lt;&gt;"")*(YEAR('LOG VẮNG'!$C$2:$C$1000)=2026)*(MONTH('LOG VẮNG'!$C$2:$C$1000)=12)*ISNUMBER(SEARCH($A165,'LOG VẮNG'!$D$2:$D$1000))))</f>
        <v/>
      </c>
      <c r="O165" s="40">
        <f>IF($B165="","",SUM(C165:N165))</f>
        <v/>
      </c>
    </row>
    <row r="166">
      <c r="A166" s="40" t="inlineStr">
        <is>
          <t>ORI164</t>
        </is>
      </c>
      <c r="B166" s="46">
        <f>IFERROR(INDEX('HỌC VIÊN'!$B$4:$B$203,MATCH($A166,'HỌC VIÊN'!$A$4:$A$203,0)),"")</f>
        <v/>
      </c>
      <c r="C166" s="40">
        <f>IF($B166="","",SUMPRODUCT(('LOG VẮNG'!$C$2:$C$1000&lt;&gt;"")*(YEAR('LOG VẮNG'!$C$2:$C$1000)=2026)*(MONTH('LOG VẮNG'!$C$2:$C$1000)=1)*ISNUMBER(SEARCH($A166,'LOG VẮNG'!$D$2:$D$1000))))</f>
        <v/>
      </c>
      <c r="D166" s="40">
        <f>IF($B166="","",SUMPRODUCT(('LOG VẮNG'!$C$2:$C$1000&lt;&gt;"")*(YEAR('LOG VẮNG'!$C$2:$C$1000)=2026)*(MONTH('LOG VẮNG'!$C$2:$C$1000)=2)*ISNUMBER(SEARCH($A166,'LOG VẮNG'!$D$2:$D$1000))))</f>
        <v/>
      </c>
      <c r="E166" s="40">
        <f>IF($B166="","",SUMPRODUCT(('LOG VẮNG'!$C$2:$C$1000&lt;&gt;"")*(YEAR('LOG VẮNG'!$C$2:$C$1000)=2026)*(MONTH('LOG VẮNG'!$C$2:$C$1000)=3)*ISNUMBER(SEARCH($A166,'LOG VẮNG'!$D$2:$D$1000))))</f>
        <v/>
      </c>
      <c r="F166" s="40">
        <f>IF($B166="","",SUMPRODUCT(('LOG VẮNG'!$C$2:$C$1000&lt;&gt;"")*(YEAR('LOG VẮNG'!$C$2:$C$1000)=2026)*(MONTH('LOG VẮNG'!$C$2:$C$1000)=4)*ISNUMBER(SEARCH($A166,'LOG VẮNG'!$D$2:$D$1000))))</f>
        <v/>
      </c>
      <c r="G166" s="40">
        <f>IF($B166="","",SUMPRODUCT(('LOG VẮNG'!$C$2:$C$1000&lt;&gt;"")*(YEAR('LOG VẮNG'!$C$2:$C$1000)=2026)*(MONTH('LOG VẮNG'!$C$2:$C$1000)=5)*ISNUMBER(SEARCH($A166,'LOG VẮNG'!$D$2:$D$1000))))</f>
        <v/>
      </c>
      <c r="H166" s="40">
        <f>IF($B166="","",SUMPRODUCT(('LOG VẮNG'!$C$2:$C$1000&lt;&gt;"")*(YEAR('LOG VẮNG'!$C$2:$C$1000)=2026)*(MONTH('LOG VẮNG'!$C$2:$C$1000)=6)*ISNUMBER(SEARCH($A166,'LOG VẮNG'!$D$2:$D$1000))))</f>
        <v/>
      </c>
      <c r="I166" s="40">
        <f>IF($B166="","",SUMPRODUCT(('LOG VẮNG'!$C$2:$C$1000&lt;&gt;"")*(YEAR('LOG VẮNG'!$C$2:$C$1000)=2026)*(MONTH('LOG VẮNG'!$C$2:$C$1000)=7)*ISNUMBER(SEARCH($A166,'LOG VẮNG'!$D$2:$D$1000))))</f>
        <v/>
      </c>
      <c r="J166" s="40">
        <f>IF($B166="","",SUMPRODUCT(('LOG VẮNG'!$C$2:$C$1000&lt;&gt;"")*(YEAR('LOG VẮNG'!$C$2:$C$1000)=2026)*(MONTH('LOG VẮNG'!$C$2:$C$1000)=8)*ISNUMBER(SEARCH($A166,'LOG VẮNG'!$D$2:$D$1000))))</f>
        <v/>
      </c>
      <c r="K166" s="40">
        <f>IF($B166="","",SUMPRODUCT(('LOG VẮNG'!$C$2:$C$1000&lt;&gt;"")*(YEAR('LOG VẮNG'!$C$2:$C$1000)=2026)*(MONTH('LOG VẮNG'!$C$2:$C$1000)=9)*ISNUMBER(SEARCH($A166,'LOG VẮNG'!$D$2:$D$1000))))</f>
        <v/>
      </c>
      <c r="L166" s="40">
        <f>IF($B166="","",SUMPRODUCT(('LOG VẮNG'!$C$2:$C$1000&lt;&gt;"")*(YEAR('LOG VẮNG'!$C$2:$C$1000)=2026)*(MONTH('LOG VẮNG'!$C$2:$C$1000)=10)*ISNUMBER(SEARCH($A166,'LOG VẮNG'!$D$2:$D$1000))))</f>
        <v/>
      </c>
      <c r="M166" s="40">
        <f>IF($B166="","",SUMPRODUCT(('LOG VẮNG'!$C$2:$C$1000&lt;&gt;"")*(YEAR('LOG VẮNG'!$C$2:$C$1000)=2026)*(MONTH('LOG VẮNG'!$C$2:$C$1000)=11)*ISNUMBER(SEARCH($A166,'LOG VẮNG'!$D$2:$D$1000))))</f>
        <v/>
      </c>
      <c r="N166" s="40">
        <f>IF($B166="","",SUMPRODUCT(('LOG VẮNG'!$C$2:$C$1000&lt;&gt;"")*(YEAR('LOG VẮNG'!$C$2:$C$1000)=2026)*(MONTH('LOG VẮNG'!$C$2:$C$1000)=12)*ISNUMBER(SEARCH($A166,'LOG VẮNG'!$D$2:$D$1000))))</f>
        <v/>
      </c>
      <c r="O166" s="40">
        <f>IF($B166="","",SUM(C166:N166))</f>
        <v/>
      </c>
    </row>
    <row r="167">
      <c r="A167" s="40" t="inlineStr">
        <is>
          <t>ORI165</t>
        </is>
      </c>
      <c r="B167" s="46">
        <f>IFERROR(INDEX('HỌC VIÊN'!$B$4:$B$203,MATCH($A167,'HỌC VIÊN'!$A$4:$A$203,0)),"")</f>
        <v/>
      </c>
      <c r="C167" s="40">
        <f>IF($B167="","",SUMPRODUCT(('LOG VẮNG'!$C$2:$C$1000&lt;&gt;"")*(YEAR('LOG VẮNG'!$C$2:$C$1000)=2026)*(MONTH('LOG VẮNG'!$C$2:$C$1000)=1)*ISNUMBER(SEARCH($A167,'LOG VẮNG'!$D$2:$D$1000))))</f>
        <v/>
      </c>
      <c r="D167" s="40">
        <f>IF($B167="","",SUMPRODUCT(('LOG VẮNG'!$C$2:$C$1000&lt;&gt;"")*(YEAR('LOG VẮNG'!$C$2:$C$1000)=2026)*(MONTH('LOG VẮNG'!$C$2:$C$1000)=2)*ISNUMBER(SEARCH($A167,'LOG VẮNG'!$D$2:$D$1000))))</f>
        <v/>
      </c>
      <c r="E167" s="40">
        <f>IF($B167="","",SUMPRODUCT(('LOG VẮNG'!$C$2:$C$1000&lt;&gt;"")*(YEAR('LOG VẮNG'!$C$2:$C$1000)=2026)*(MONTH('LOG VẮNG'!$C$2:$C$1000)=3)*ISNUMBER(SEARCH($A167,'LOG VẮNG'!$D$2:$D$1000))))</f>
        <v/>
      </c>
      <c r="F167" s="40">
        <f>IF($B167="","",SUMPRODUCT(('LOG VẮNG'!$C$2:$C$1000&lt;&gt;"")*(YEAR('LOG VẮNG'!$C$2:$C$1000)=2026)*(MONTH('LOG VẮNG'!$C$2:$C$1000)=4)*ISNUMBER(SEARCH($A167,'LOG VẮNG'!$D$2:$D$1000))))</f>
        <v/>
      </c>
      <c r="G167" s="40">
        <f>IF($B167="","",SUMPRODUCT(('LOG VẮNG'!$C$2:$C$1000&lt;&gt;"")*(YEAR('LOG VẮNG'!$C$2:$C$1000)=2026)*(MONTH('LOG VẮNG'!$C$2:$C$1000)=5)*ISNUMBER(SEARCH($A167,'LOG VẮNG'!$D$2:$D$1000))))</f>
        <v/>
      </c>
      <c r="H167" s="40">
        <f>IF($B167="","",SUMPRODUCT(('LOG VẮNG'!$C$2:$C$1000&lt;&gt;"")*(YEAR('LOG VẮNG'!$C$2:$C$1000)=2026)*(MONTH('LOG VẮNG'!$C$2:$C$1000)=6)*ISNUMBER(SEARCH($A167,'LOG VẮNG'!$D$2:$D$1000))))</f>
        <v/>
      </c>
      <c r="I167" s="40">
        <f>IF($B167="","",SUMPRODUCT(('LOG VẮNG'!$C$2:$C$1000&lt;&gt;"")*(YEAR('LOG VẮNG'!$C$2:$C$1000)=2026)*(MONTH('LOG VẮNG'!$C$2:$C$1000)=7)*ISNUMBER(SEARCH($A167,'LOG VẮNG'!$D$2:$D$1000))))</f>
        <v/>
      </c>
      <c r="J167" s="40">
        <f>IF($B167="","",SUMPRODUCT(('LOG VẮNG'!$C$2:$C$1000&lt;&gt;"")*(YEAR('LOG VẮNG'!$C$2:$C$1000)=2026)*(MONTH('LOG VẮNG'!$C$2:$C$1000)=8)*ISNUMBER(SEARCH($A167,'LOG VẮNG'!$D$2:$D$1000))))</f>
        <v/>
      </c>
      <c r="K167" s="40">
        <f>IF($B167="","",SUMPRODUCT(('LOG VẮNG'!$C$2:$C$1000&lt;&gt;"")*(YEAR('LOG VẮNG'!$C$2:$C$1000)=2026)*(MONTH('LOG VẮNG'!$C$2:$C$1000)=9)*ISNUMBER(SEARCH($A167,'LOG VẮNG'!$D$2:$D$1000))))</f>
        <v/>
      </c>
      <c r="L167" s="40">
        <f>IF($B167="","",SUMPRODUCT(('LOG VẮNG'!$C$2:$C$1000&lt;&gt;"")*(YEAR('LOG VẮNG'!$C$2:$C$1000)=2026)*(MONTH('LOG VẮNG'!$C$2:$C$1000)=10)*ISNUMBER(SEARCH($A167,'LOG VẮNG'!$D$2:$D$1000))))</f>
        <v/>
      </c>
      <c r="M167" s="40">
        <f>IF($B167="","",SUMPRODUCT(('LOG VẮNG'!$C$2:$C$1000&lt;&gt;"")*(YEAR('LOG VẮNG'!$C$2:$C$1000)=2026)*(MONTH('LOG VẮNG'!$C$2:$C$1000)=11)*ISNUMBER(SEARCH($A167,'LOG VẮNG'!$D$2:$D$1000))))</f>
        <v/>
      </c>
      <c r="N167" s="40">
        <f>IF($B167="","",SUMPRODUCT(('LOG VẮNG'!$C$2:$C$1000&lt;&gt;"")*(YEAR('LOG VẮNG'!$C$2:$C$1000)=2026)*(MONTH('LOG VẮNG'!$C$2:$C$1000)=12)*ISNUMBER(SEARCH($A167,'LOG VẮNG'!$D$2:$D$1000))))</f>
        <v/>
      </c>
      <c r="O167" s="40">
        <f>IF($B167="","",SUM(C167:N167))</f>
        <v/>
      </c>
    </row>
    <row r="168">
      <c r="A168" s="40" t="inlineStr">
        <is>
          <t>ORI166</t>
        </is>
      </c>
      <c r="B168" s="46">
        <f>IFERROR(INDEX('HỌC VIÊN'!$B$4:$B$203,MATCH($A168,'HỌC VIÊN'!$A$4:$A$203,0)),"")</f>
        <v/>
      </c>
      <c r="C168" s="40">
        <f>IF($B168="","",SUMPRODUCT(('LOG VẮNG'!$C$2:$C$1000&lt;&gt;"")*(YEAR('LOG VẮNG'!$C$2:$C$1000)=2026)*(MONTH('LOG VẮNG'!$C$2:$C$1000)=1)*ISNUMBER(SEARCH($A168,'LOG VẮNG'!$D$2:$D$1000))))</f>
        <v/>
      </c>
      <c r="D168" s="40">
        <f>IF($B168="","",SUMPRODUCT(('LOG VẮNG'!$C$2:$C$1000&lt;&gt;"")*(YEAR('LOG VẮNG'!$C$2:$C$1000)=2026)*(MONTH('LOG VẮNG'!$C$2:$C$1000)=2)*ISNUMBER(SEARCH($A168,'LOG VẮNG'!$D$2:$D$1000))))</f>
        <v/>
      </c>
      <c r="E168" s="40">
        <f>IF($B168="","",SUMPRODUCT(('LOG VẮNG'!$C$2:$C$1000&lt;&gt;"")*(YEAR('LOG VẮNG'!$C$2:$C$1000)=2026)*(MONTH('LOG VẮNG'!$C$2:$C$1000)=3)*ISNUMBER(SEARCH($A168,'LOG VẮNG'!$D$2:$D$1000))))</f>
        <v/>
      </c>
      <c r="F168" s="40">
        <f>IF($B168="","",SUMPRODUCT(('LOG VẮNG'!$C$2:$C$1000&lt;&gt;"")*(YEAR('LOG VẮNG'!$C$2:$C$1000)=2026)*(MONTH('LOG VẮNG'!$C$2:$C$1000)=4)*ISNUMBER(SEARCH($A168,'LOG VẮNG'!$D$2:$D$1000))))</f>
        <v/>
      </c>
      <c r="G168" s="40">
        <f>IF($B168="","",SUMPRODUCT(('LOG VẮNG'!$C$2:$C$1000&lt;&gt;"")*(YEAR('LOG VẮNG'!$C$2:$C$1000)=2026)*(MONTH('LOG VẮNG'!$C$2:$C$1000)=5)*ISNUMBER(SEARCH($A168,'LOG VẮNG'!$D$2:$D$1000))))</f>
        <v/>
      </c>
      <c r="H168" s="40">
        <f>IF($B168="","",SUMPRODUCT(('LOG VẮNG'!$C$2:$C$1000&lt;&gt;"")*(YEAR('LOG VẮNG'!$C$2:$C$1000)=2026)*(MONTH('LOG VẮNG'!$C$2:$C$1000)=6)*ISNUMBER(SEARCH($A168,'LOG VẮNG'!$D$2:$D$1000))))</f>
        <v/>
      </c>
      <c r="I168" s="40">
        <f>IF($B168="","",SUMPRODUCT(('LOG VẮNG'!$C$2:$C$1000&lt;&gt;"")*(YEAR('LOG VẮNG'!$C$2:$C$1000)=2026)*(MONTH('LOG VẮNG'!$C$2:$C$1000)=7)*ISNUMBER(SEARCH($A168,'LOG VẮNG'!$D$2:$D$1000))))</f>
        <v/>
      </c>
      <c r="J168" s="40">
        <f>IF($B168="","",SUMPRODUCT(('LOG VẮNG'!$C$2:$C$1000&lt;&gt;"")*(YEAR('LOG VẮNG'!$C$2:$C$1000)=2026)*(MONTH('LOG VẮNG'!$C$2:$C$1000)=8)*ISNUMBER(SEARCH($A168,'LOG VẮNG'!$D$2:$D$1000))))</f>
        <v/>
      </c>
      <c r="K168" s="40">
        <f>IF($B168="","",SUMPRODUCT(('LOG VẮNG'!$C$2:$C$1000&lt;&gt;"")*(YEAR('LOG VẮNG'!$C$2:$C$1000)=2026)*(MONTH('LOG VẮNG'!$C$2:$C$1000)=9)*ISNUMBER(SEARCH($A168,'LOG VẮNG'!$D$2:$D$1000))))</f>
        <v/>
      </c>
      <c r="L168" s="40">
        <f>IF($B168="","",SUMPRODUCT(('LOG VẮNG'!$C$2:$C$1000&lt;&gt;"")*(YEAR('LOG VẮNG'!$C$2:$C$1000)=2026)*(MONTH('LOG VẮNG'!$C$2:$C$1000)=10)*ISNUMBER(SEARCH($A168,'LOG VẮNG'!$D$2:$D$1000))))</f>
        <v/>
      </c>
      <c r="M168" s="40">
        <f>IF($B168="","",SUMPRODUCT(('LOG VẮNG'!$C$2:$C$1000&lt;&gt;"")*(YEAR('LOG VẮNG'!$C$2:$C$1000)=2026)*(MONTH('LOG VẮNG'!$C$2:$C$1000)=11)*ISNUMBER(SEARCH($A168,'LOG VẮNG'!$D$2:$D$1000))))</f>
        <v/>
      </c>
      <c r="N168" s="40">
        <f>IF($B168="","",SUMPRODUCT(('LOG VẮNG'!$C$2:$C$1000&lt;&gt;"")*(YEAR('LOG VẮNG'!$C$2:$C$1000)=2026)*(MONTH('LOG VẮNG'!$C$2:$C$1000)=12)*ISNUMBER(SEARCH($A168,'LOG VẮNG'!$D$2:$D$1000))))</f>
        <v/>
      </c>
      <c r="O168" s="40">
        <f>IF($B168="","",SUM(C168:N168))</f>
        <v/>
      </c>
    </row>
    <row r="169">
      <c r="A169" s="40" t="inlineStr">
        <is>
          <t>ORI167</t>
        </is>
      </c>
      <c r="B169" s="46">
        <f>IFERROR(INDEX('HỌC VIÊN'!$B$4:$B$203,MATCH($A169,'HỌC VIÊN'!$A$4:$A$203,0)),"")</f>
        <v/>
      </c>
      <c r="C169" s="40">
        <f>IF($B169="","",SUMPRODUCT(('LOG VẮNG'!$C$2:$C$1000&lt;&gt;"")*(YEAR('LOG VẮNG'!$C$2:$C$1000)=2026)*(MONTH('LOG VẮNG'!$C$2:$C$1000)=1)*ISNUMBER(SEARCH($A169,'LOG VẮNG'!$D$2:$D$1000))))</f>
        <v/>
      </c>
      <c r="D169" s="40">
        <f>IF($B169="","",SUMPRODUCT(('LOG VẮNG'!$C$2:$C$1000&lt;&gt;"")*(YEAR('LOG VẮNG'!$C$2:$C$1000)=2026)*(MONTH('LOG VẮNG'!$C$2:$C$1000)=2)*ISNUMBER(SEARCH($A169,'LOG VẮNG'!$D$2:$D$1000))))</f>
        <v/>
      </c>
      <c r="E169" s="40">
        <f>IF($B169="","",SUMPRODUCT(('LOG VẮNG'!$C$2:$C$1000&lt;&gt;"")*(YEAR('LOG VẮNG'!$C$2:$C$1000)=2026)*(MONTH('LOG VẮNG'!$C$2:$C$1000)=3)*ISNUMBER(SEARCH($A169,'LOG VẮNG'!$D$2:$D$1000))))</f>
        <v/>
      </c>
      <c r="F169" s="40">
        <f>IF($B169="","",SUMPRODUCT(('LOG VẮNG'!$C$2:$C$1000&lt;&gt;"")*(YEAR('LOG VẮNG'!$C$2:$C$1000)=2026)*(MONTH('LOG VẮNG'!$C$2:$C$1000)=4)*ISNUMBER(SEARCH($A169,'LOG VẮNG'!$D$2:$D$1000))))</f>
        <v/>
      </c>
      <c r="G169" s="40">
        <f>IF($B169="","",SUMPRODUCT(('LOG VẮNG'!$C$2:$C$1000&lt;&gt;"")*(YEAR('LOG VẮNG'!$C$2:$C$1000)=2026)*(MONTH('LOG VẮNG'!$C$2:$C$1000)=5)*ISNUMBER(SEARCH($A169,'LOG VẮNG'!$D$2:$D$1000))))</f>
        <v/>
      </c>
      <c r="H169" s="40">
        <f>IF($B169="","",SUMPRODUCT(('LOG VẮNG'!$C$2:$C$1000&lt;&gt;"")*(YEAR('LOG VẮNG'!$C$2:$C$1000)=2026)*(MONTH('LOG VẮNG'!$C$2:$C$1000)=6)*ISNUMBER(SEARCH($A169,'LOG VẮNG'!$D$2:$D$1000))))</f>
        <v/>
      </c>
      <c r="I169" s="40">
        <f>IF($B169="","",SUMPRODUCT(('LOG VẮNG'!$C$2:$C$1000&lt;&gt;"")*(YEAR('LOG VẮNG'!$C$2:$C$1000)=2026)*(MONTH('LOG VẮNG'!$C$2:$C$1000)=7)*ISNUMBER(SEARCH($A169,'LOG VẮNG'!$D$2:$D$1000))))</f>
        <v/>
      </c>
      <c r="J169" s="40">
        <f>IF($B169="","",SUMPRODUCT(('LOG VẮNG'!$C$2:$C$1000&lt;&gt;"")*(YEAR('LOG VẮNG'!$C$2:$C$1000)=2026)*(MONTH('LOG VẮNG'!$C$2:$C$1000)=8)*ISNUMBER(SEARCH($A169,'LOG VẮNG'!$D$2:$D$1000))))</f>
        <v/>
      </c>
      <c r="K169" s="40">
        <f>IF($B169="","",SUMPRODUCT(('LOG VẮNG'!$C$2:$C$1000&lt;&gt;"")*(YEAR('LOG VẮNG'!$C$2:$C$1000)=2026)*(MONTH('LOG VẮNG'!$C$2:$C$1000)=9)*ISNUMBER(SEARCH($A169,'LOG VẮNG'!$D$2:$D$1000))))</f>
        <v/>
      </c>
      <c r="L169" s="40">
        <f>IF($B169="","",SUMPRODUCT(('LOG VẮNG'!$C$2:$C$1000&lt;&gt;"")*(YEAR('LOG VẮNG'!$C$2:$C$1000)=2026)*(MONTH('LOG VẮNG'!$C$2:$C$1000)=10)*ISNUMBER(SEARCH($A169,'LOG VẮNG'!$D$2:$D$1000))))</f>
        <v/>
      </c>
      <c r="M169" s="40">
        <f>IF($B169="","",SUMPRODUCT(('LOG VẮNG'!$C$2:$C$1000&lt;&gt;"")*(YEAR('LOG VẮNG'!$C$2:$C$1000)=2026)*(MONTH('LOG VẮNG'!$C$2:$C$1000)=11)*ISNUMBER(SEARCH($A169,'LOG VẮNG'!$D$2:$D$1000))))</f>
        <v/>
      </c>
      <c r="N169" s="40">
        <f>IF($B169="","",SUMPRODUCT(('LOG VẮNG'!$C$2:$C$1000&lt;&gt;"")*(YEAR('LOG VẮNG'!$C$2:$C$1000)=2026)*(MONTH('LOG VẮNG'!$C$2:$C$1000)=12)*ISNUMBER(SEARCH($A169,'LOG VẮNG'!$D$2:$D$1000))))</f>
        <v/>
      </c>
      <c r="O169" s="40">
        <f>IF($B169="","",SUM(C169:N169))</f>
        <v/>
      </c>
    </row>
    <row r="170">
      <c r="A170" s="40" t="inlineStr">
        <is>
          <t>ORI168</t>
        </is>
      </c>
      <c r="B170" s="46">
        <f>IFERROR(INDEX('HỌC VIÊN'!$B$4:$B$203,MATCH($A170,'HỌC VIÊN'!$A$4:$A$203,0)),"")</f>
        <v/>
      </c>
      <c r="C170" s="40">
        <f>IF($B170="","",SUMPRODUCT(('LOG VẮNG'!$C$2:$C$1000&lt;&gt;"")*(YEAR('LOG VẮNG'!$C$2:$C$1000)=2026)*(MONTH('LOG VẮNG'!$C$2:$C$1000)=1)*ISNUMBER(SEARCH($A170,'LOG VẮNG'!$D$2:$D$1000))))</f>
        <v/>
      </c>
      <c r="D170" s="40">
        <f>IF($B170="","",SUMPRODUCT(('LOG VẮNG'!$C$2:$C$1000&lt;&gt;"")*(YEAR('LOG VẮNG'!$C$2:$C$1000)=2026)*(MONTH('LOG VẮNG'!$C$2:$C$1000)=2)*ISNUMBER(SEARCH($A170,'LOG VẮNG'!$D$2:$D$1000))))</f>
        <v/>
      </c>
      <c r="E170" s="40">
        <f>IF($B170="","",SUMPRODUCT(('LOG VẮNG'!$C$2:$C$1000&lt;&gt;"")*(YEAR('LOG VẮNG'!$C$2:$C$1000)=2026)*(MONTH('LOG VẮNG'!$C$2:$C$1000)=3)*ISNUMBER(SEARCH($A170,'LOG VẮNG'!$D$2:$D$1000))))</f>
        <v/>
      </c>
      <c r="F170" s="40">
        <f>IF($B170="","",SUMPRODUCT(('LOG VẮNG'!$C$2:$C$1000&lt;&gt;"")*(YEAR('LOG VẮNG'!$C$2:$C$1000)=2026)*(MONTH('LOG VẮNG'!$C$2:$C$1000)=4)*ISNUMBER(SEARCH($A170,'LOG VẮNG'!$D$2:$D$1000))))</f>
        <v/>
      </c>
      <c r="G170" s="40">
        <f>IF($B170="","",SUMPRODUCT(('LOG VẮNG'!$C$2:$C$1000&lt;&gt;"")*(YEAR('LOG VẮNG'!$C$2:$C$1000)=2026)*(MONTH('LOG VẮNG'!$C$2:$C$1000)=5)*ISNUMBER(SEARCH($A170,'LOG VẮNG'!$D$2:$D$1000))))</f>
        <v/>
      </c>
      <c r="H170" s="40">
        <f>IF($B170="","",SUMPRODUCT(('LOG VẮNG'!$C$2:$C$1000&lt;&gt;"")*(YEAR('LOG VẮNG'!$C$2:$C$1000)=2026)*(MONTH('LOG VẮNG'!$C$2:$C$1000)=6)*ISNUMBER(SEARCH($A170,'LOG VẮNG'!$D$2:$D$1000))))</f>
        <v/>
      </c>
      <c r="I170" s="40">
        <f>IF($B170="","",SUMPRODUCT(('LOG VẮNG'!$C$2:$C$1000&lt;&gt;"")*(YEAR('LOG VẮNG'!$C$2:$C$1000)=2026)*(MONTH('LOG VẮNG'!$C$2:$C$1000)=7)*ISNUMBER(SEARCH($A170,'LOG VẮNG'!$D$2:$D$1000))))</f>
        <v/>
      </c>
      <c r="J170" s="40">
        <f>IF($B170="","",SUMPRODUCT(('LOG VẮNG'!$C$2:$C$1000&lt;&gt;"")*(YEAR('LOG VẮNG'!$C$2:$C$1000)=2026)*(MONTH('LOG VẮNG'!$C$2:$C$1000)=8)*ISNUMBER(SEARCH($A170,'LOG VẮNG'!$D$2:$D$1000))))</f>
        <v/>
      </c>
      <c r="K170" s="40">
        <f>IF($B170="","",SUMPRODUCT(('LOG VẮNG'!$C$2:$C$1000&lt;&gt;"")*(YEAR('LOG VẮNG'!$C$2:$C$1000)=2026)*(MONTH('LOG VẮNG'!$C$2:$C$1000)=9)*ISNUMBER(SEARCH($A170,'LOG VẮNG'!$D$2:$D$1000))))</f>
        <v/>
      </c>
      <c r="L170" s="40">
        <f>IF($B170="","",SUMPRODUCT(('LOG VẮNG'!$C$2:$C$1000&lt;&gt;"")*(YEAR('LOG VẮNG'!$C$2:$C$1000)=2026)*(MONTH('LOG VẮNG'!$C$2:$C$1000)=10)*ISNUMBER(SEARCH($A170,'LOG VẮNG'!$D$2:$D$1000))))</f>
        <v/>
      </c>
      <c r="M170" s="40">
        <f>IF($B170="","",SUMPRODUCT(('LOG VẮNG'!$C$2:$C$1000&lt;&gt;"")*(YEAR('LOG VẮNG'!$C$2:$C$1000)=2026)*(MONTH('LOG VẮNG'!$C$2:$C$1000)=11)*ISNUMBER(SEARCH($A170,'LOG VẮNG'!$D$2:$D$1000))))</f>
        <v/>
      </c>
      <c r="N170" s="40">
        <f>IF($B170="","",SUMPRODUCT(('LOG VẮNG'!$C$2:$C$1000&lt;&gt;"")*(YEAR('LOG VẮNG'!$C$2:$C$1000)=2026)*(MONTH('LOG VẮNG'!$C$2:$C$1000)=12)*ISNUMBER(SEARCH($A170,'LOG VẮNG'!$D$2:$D$1000))))</f>
        <v/>
      </c>
      <c r="O170" s="40">
        <f>IF($B170="","",SUM(C170:N170))</f>
        <v/>
      </c>
    </row>
    <row r="171">
      <c r="A171" s="40" t="inlineStr">
        <is>
          <t>ORI169</t>
        </is>
      </c>
      <c r="B171" s="46">
        <f>IFERROR(INDEX('HỌC VIÊN'!$B$4:$B$203,MATCH($A171,'HỌC VIÊN'!$A$4:$A$203,0)),"")</f>
        <v/>
      </c>
      <c r="C171" s="40">
        <f>IF($B171="","",SUMPRODUCT(('LOG VẮNG'!$C$2:$C$1000&lt;&gt;"")*(YEAR('LOG VẮNG'!$C$2:$C$1000)=2026)*(MONTH('LOG VẮNG'!$C$2:$C$1000)=1)*ISNUMBER(SEARCH($A171,'LOG VẮNG'!$D$2:$D$1000))))</f>
        <v/>
      </c>
      <c r="D171" s="40">
        <f>IF($B171="","",SUMPRODUCT(('LOG VẮNG'!$C$2:$C$1000&lt;&gt;"")*(YEAR('LOG VẮNG'!$C$2:$C$1000)=2026)*(MONTH('LOG VẮNG'!$C$2:$C$1000)=2)*ISNUMBER(SEARCH($A171,'LOG VẮNG'!$D$2:$D$1000))))</f>
        <v/>
      </c>
      <c r="E171" s="40">
        <f>IF($B171="","",SUMPRODUCT(('LOG VẮNG'!$C$2:$C$1000&lt;&gt;"")*(YEAR('LOG VẮNG'!$C$2:$C$1000)=2026)*(MONTH('LOG VẮNG'!$C$2:$C$1000)=3)*ISNUMBER(SEARCH($A171,'LOG VẮNG'!$D$2:$D$1000))))</f>
        <v/>
      </c>
      <c r="F171" s="40">
        <f>IF($B171="","",SUMPRODUCT(('LOG VẮNG'!$C$2:$C$1000&lt;&gt;"")*(YEAR('LOG VẮNG'!$C$2:$C$1000)=2026)*(MONTH('LOG VẮNG'!$C$2:$C$1000)=4)*ISNUMBER(SEARCH($A171,'LOG VẮNG'!$D$2:$D$1000))))</f>
        <v/>
      </c>
      <c r="G171" s="40">
        <f>IF($B171="","",SUMPRODUCT(('LOG VẮNG'!$C$2:$C$1000&lt;&gt;"")*(YEAR('LOG VẮNG'!$C$2:$C$1000)=2026)*(MONTH('LOG VẮNG'!$C$2:$C$1000)=5)*ISNUMBER(SEARCH($A171,'LOG VẮNG'!$D$2:$D$1000))))</f>
        <v/>
      </c>
      <c r="H171" s="40">
        <f>IF($B171="","",SUMPRODUCT(('LOG VẮNG'!$C$2:$C$1000&lt;&gt;"")*(YEAR('LOG VẮNG'!$C$2:$C$1000)=2026)*(MONTH('LOG VẮNG'!$C$2:$C$1000)=6)*ISNUMBER(SEARCH($A171,'LOG VẮNG'!$D$2:$D$1000))))</f>
        <v/>
      </c>
      <c r="I171" s="40">
        <f>IF($B171="","",SUMPRODUCT(('LOG VẮNG'!$C$2:$C$1000&lt;&gt;"")*(YEAR('LOG VẮNG'!$C$2:$C$1000)=2026)*(MONTH('LOG VẮNG'!$C$2:$C$1000)=7)*ISNUMBER(SEARCH($A171,'LOG VẮNG'!$D$2:$D$1000))))</f>
        <v/>
      </c>
      <c r="J171" s="40">
        <f>IF($B171="","",SUMPRODUCT(('LOG VẮNG'!$C$2:$C$1000&lt;&gt;"")*(YEAR('LOG VẮNG'!$C$2:$C$1000)=2026)*(MONTH('LOG VẮNG'!$C$2:$C$1000)=8)*ISNUMBER(SEARCH($A171,'LOG VẮNG'!$D$2:$D$1000))))</f>
        <v/>
      </c>
      <c r="K171" s="40">
        <f>IF($B171="","",SUMPRODUCT(('LOG VẮNG'!$C$2:$C$1000&lt;&gt;"")*(YEAR('LOG VẮNG'!$C$2:$C$1000)=2026)*(MONTH('LOG VẮNG'!$C$2:$C$1000)=9)*ISNUMBER(SEARCH($A171,'LOG VẮNG'!$D$2:$D$1000))))</f>
        <v/>
      </c>
      <c r="L171" s="40">
        <f>IF($B171="","",SUMPRODUCT(('LOG VẮNG'!$C$2:$C$1000&lt;&gt;"")*(YEAR('LOG VẮNG'!$C$2:$C$1000)=2026)*(MONTH('LOG VẮNG'!$C$2:$C$1000)=10)*ISNUMBER(SEARCH($A171,'LOG VẮNG'!$D$2:$D$1000))))</f>
        <v/>
      </c>
      <c r="M171" s="40">
        <f>IF($B171="","",SUMPRODUCT(('LOG VẮNG'!$C$2:$C$1000&lt;&gt;"")*(YEAR('LOG VẮNG'!$C$2:$C$1000)=2026)*(MONTH('LOG VẮNG'!$C$2:$C$1000)=11)*ISNUMBER(SEARCH($A171,'LOG VẮNG'!$D$2:$D$1000))))</f>
        <v/>
      </c>
      <c r="N171" s="40">
        <f>IF($B171="","",SUMPRODUCT(('LOG VẮNG'!$C$2:$C$1000&lt;&gt;"")*(YEAR('LOG VẮNG'!$C$2:$C$1000)=2026)*(MONTH('LOG VẮNG'!$C$2:$C$1000)=12)*ISNUMBER(SEARCH($A171,'LOG VẮNG'!$D$2:$D$1000))))</f>
        <v/>
      </c>
      <c r="O171" s="40">
        <f>IF($B171="","",SUM(C171:N171))</f>
        <v/>
      </c>
    </row>
    <row r="172">
      <c r="A172" s="40" t="inlineStr">
        <is>
          <t>ORI170</t>
        </is>
      </c>
      <c r="B172" s="46">
        <f>IFERROR(INDEX('HỌC VIÊN'!$B$4:$B$203,MATCH($A172,'HỌC VIÊN'!$A$4:$A$203,0)),"")</f>
        <v/>
      </c>
      <c r="C172" s="40">
        <f>IF($B172="","",SUMPRODUCT(('LOG VẮNG'!$C$2:$C$1000&lt;&gt;"")*(YEAR('LOG VẮNG'!$C$2:$C$1000)=2026)*(MONTH('LOG VẮNG'!$C$2:$C$1000)=1)*ISNUMBER(SEARCH($A172,'LOG VẮNG'!$D$2:$D$1000))))</f>
        <v/>
      </c>
      <c r="D172" s="40">
        <f>IF($B172="","",SUMPRODUCT(('LOG VẮNG'!$C$2:$C$1000&lt;&gt;"")*(YEAR('LOG VẮNG'!$C$2:$C$1000)=2026)*(MONTH('LOG VẮNG'!$C$2:$C$1000)=2)*ISNUMBER(SEARCH($A172,'LOG VẮNG'!$D$2:$D$1000))))</f>
        <v/>
      </c>
      <c r="E172" s="40">
        <f>IF($B172="","",SUMPRODUCT(('LOG VẮNG'!$C$2:$C$1000&lt;&gt;"")*(YEAR('LOG VẮNG'!$C$2:$C$1000)=2026)*(MONTH('LOG VẮNG'!$C$2:$C$1000)=3)*ISNUMBER(SEARCH($A172,'LOG VẮNG'!$D$2:$D$1000))))</f>
        <v/>
      </c>
      <c r="F172" s="40">
        <f>IF($B172="","",SUMPRODUCT(('LOG VẮNG'!$C$2:$C$1000&lt;&gt;"")*(YEAR('LOG VẮNG'!$C$2:$C$1000)=2026)*(MONTH('LOG VẮNG'!$C$2:$C$1000)=4)*ISNUMBER(SEARCH($A172,'LOG VẮNG'!$D$2:$D$1000))))</f>
        <v/>
      </c>
      <c r="G172" s="40">
        <f>IF($B172="","",SUMPRODUCT(('LOG VẮNG'!$C$2:$C$1000&lt;&gt;"")*(YEAR('LOG VẮNG'!$C$2:$C$1000)=2026)*(MONTH('LOG VẮNG'!$C$2:$C$1000)=5)*ISNUMBER(SEARCH($A172,'LOG VẮNG'!$D$2:$D$1000))))</f>
        <v/>
      </c>
      <c r="H172" s="40">
        <f>IF($B172="","",SUMPRODUCT(('LOG VẮNG'!$C$2:$C$1000&lt;&gt;"")*(YEAR('LOG VẮNG'!$C$2:$C$1000)=2026)*(MONTH('LOG VẮNG'!$C$2:$C$1000)=6)*ISNUMBER(SEARCH($A172,'LOG VẮNG'!$D$2:$D$1000))))</f>
        <v/>
      </c>
      <c r="I172" s="40">
        <f>IF($B172="","",SUMPRODUCT(('LOG VẮNG'!$C$2:$C$1000&lt;&gt;"")*(YEAR('LOG VẮNG'!$C$2:$C$1000)=2026)*(MONTH('LOG VẮNG'!$C$2:$C$1000)=7)*ISNUMBER(SEARCH($A172,'LOG VẮNG'!$D$2:$D$1000))))</f>
        <v/>
      </c>
      <c r="J172" s="40">
        <f>IF($B172="","",SUMPRODUCT(('LOG VẮNG'!$C$2:$C$1000&lt;&gt;"")*(YEAR('LOG VẮNG'!$C$2:$C$1000)=2026)*(MONTH('LOG VẮNG'!$C$2:$C$1000)=8)*ISNUMBER(SEARCH($A172,'LOG VẮNG'!$D$2:$D$1000))))</f>
        <v/>
      </c>
      <c r="K172" s="40">
        <f>IF($B172="","",SUMPRODUCT(('LOG VẮNG'!$C$2:$C$1000&lt;&gt;"")*(YEAR('LOG VẮNG'!$C$2:$C$1000)=2026)*(MONTH('LOG VẮNG'!$C$2:$C$1000)=9)*ISNUMBER(SEARCH($A172,'LOG VẮNG'!$D$2:$D$1000))))</f>
        <v/>
      </c>
      <c r="L172" s="40">
        <f>IF($B172="","",SUMPRODUCT(('LOG VẮNG'!$C$2:$C$1000&lt;&gt;"")*(YEAR('LOG VẮNG'!$C$2:$C$1000)=2026)*(MONTH('LOG VẮNG'!$C$2:$C$1000)=10)*ISNUMBER(SEARCH($A172,'LOG VẮNG'!$D$2:$D$1000))))</f>
        <v/>
      </c>
      <c r="M172" s="40">
        <f>IF($B172="","",SUMPRODUCT(('LOG VẮNG'!$C$2:$C$1000&lt;&gt;"")*(YEAR('LOG VẮNG'!$C$2:$C$1000)=2026)*(MONTH('LOG VẮNG'!$C$2:$C$1000)=11)*ISNUMBER(SEARCH($A172,'LOG VẮNG'!$D$2:$D$1000))))</f>
        <v/>
      </c>
      <c r="N172" s="40">
        <f>IF($B172="","",SUMPRODUCT(('LOG VẮNG'!$C$2:$C$1000&lt;&gt;"")*(YEAR('LOG VẮNG'!$C$2:$C$1000)=2026)*(MONTH('LOG VẮNG'!$C$2:$C$1000)=12)*ISNUMBER(SEARCH($A172,'LOG VẮNG'!$D$2:$D$1000))))</f>
        <v/>
      </c>
      <c r="O172" s="40">
        <f>IF($B172="","",SUM(C172:N172))</f>
        <v/>
      </c>
    </row>
    <row r="173">
      <c r="A173" s="40" t="inlineStr">
        <is>
          <t>ORI171</t>
        </is>
      </c>
      <c r="B173" s="46">
        <f>IFERROR(INDEX('HỌC VIÊN'!$B$4:$B$203,MATCH($A173,'HỌC VIÊN'!$A$4:$A$203,0)),"")</f>
        <v/>
      </c>
      <c r="C173" s="40">
        <f>IF($B173="","",SUMPRODUCT(('LOG VẮNG'!$C$2:$C$1000&lt;&gt;"")*(YEAR('LOG VẮNG'!$C$2:$C$1000)=2026)*(MONTH('LOG VẮNG'!$C$2:$C$1000)=1)*ISNUMBER(SEARCH($A173,'LOG VẮNG'!$D$2:$D$1000))))</f>
        <v/>
      </c>
      <c r="D173" s="40">
        <f>IF($B173="","",SUMPRODUCT(('LOG VẮNG'!$C$2:$C$1000&lt;&gt;"")*(YEAR('LOG VẮNG'!$C$2:$C$1000)=2026)*(MONTH('LOG VẮNG'!$C$2:$C$1000)=2)*ISNUMBER(SEARCH($A173,'LOG VẮNG'!$D$2:$D$1000))))</f>
        <v/>
      </c>
      <c r="E173" s="40">
        <f>IF($B173="","",SUMPRODUCT(('LOG VẮNG'!$C$2:$C$1000&lt;&gt;"")*(YEAR('LOG VẮNG'!$C$2:$C$1000)=2026)*(MONTH('LOG VẮNG'!$C$2:$C$1000)=3)*ISNUMBER(SEARCH($A173,'LOG VẮNG'!$D$2:$D$1000))))</f>
        <v/>
      </c>
      <c r="F173" s="40">
        <f>IF($B173="","",SUMPRODUCT(('LOG VẮNG'!$C$2:$C$1000&lt;&gt;"")*(YEAR('LOG VẮNG'!$C$2:$C$1000)=2026)*(MONTH('LOG VẮNG'!$C$2:$C$1000)=4)*ISNUMBER(SEARCH($A173,'LOG VẮNG'!$D$2:$D$1000))))</f>
        <v/>
      </c>
      <c r="G173" s="40">
        <f>IF($B173="","",SUMPRODUCT(('LOG VẮNG'!$C$2:$C$1000&lt;&gt;"")*(YEAR('LOG VẮNG'!$C$2:$C$1000)=2026)*(MONTH('LOG VẮNG'!$C$2:$C$1000)=5)*ISNUMBER(SEARCH($A173,'LOG VẮNG'!$D$2:$D$1000))))</f>
        <v/>
      </c>
      <c r="H173" s="40">
        <f>IF($B173="","",SUMPRODUCT(('LOG VẮNG'!$C$2:$C$1000&lt;&gt;"")*(YEAR('LOG VẮNG'!$C$2:$C$1000)=2026)*(MONTH('LOG VẮNG'!$C$2:$C$1000)=6)*ISNUMBER(SEARCH($A173,'LOG VẮNG'!$D$2:$D$1000))))</f>
        <v/>
      </c>
      <c r="I173" s="40">
        <f>IF($B173="","",SUMPRODUCT(('LOG VẮNG'!$C$2:$C$1000&lt;&gt;"")*(YEAR('LOG VẮNG'!$C$2:$C$1000)=2026)*(MONTH('LOG VẮNG'!$C$2:$C$1000)=7)*ISNUMBER(SEARCH($A173,'LOG VẮNG'!$D$2:$D$1000))))</f>
        <v/>
      </c>
      <c r="J173" s="40">
        <f>IF($B173="","",SUMPRODUCT(('LOG VẮNG'!$C$2:$C$1000&lt;&gt;"")*(YEAR('LOG VẮNG'!$C$2:$C$1000)=2026)*(MONTH('LOG VẮNG'!$C$2:$C$1000)=8)*ISNUMBER(SEARCH($A173,'LOG VẮNG'!$D$2:$D$1000))))</f>
        <v/>
      </c>
      <c r="K173" s="40">
        <f>IF($B173="","",SUMPRODUCT(('LOG VẮNG'!$C$2:$C$1000&lt;&gt;"")*(YEAR('LOG VẮNG'!$C$2:$C$1000)=2026)*(MONTH('LOG VẮNG'!$C$2:$C$1000)=9)*ISNUMBER(SEARCH($A173,'LOG VẮNG'!$D$2:$D$1000))))</f>
        <v/>
      </c>
      <c r="L173" s="40">
        <f>IF($B173="","",SUMPRODUCT(('LOG VẮNG'!$C$2:$C$1000&lt;&gt;"")*(YEAR('LOG VẮNG'!$C$2:$C$1000)=2026)*(MONTH('LOG VẮNG'!$C$2:$C$1000)=10)*ISNUMBER(SEARCH($A173,'LOG VẮNG'!$D$2:$D$1000))))</f>
        <v/>
      </c>
      <c r="M173" s="40">
        <f>IF($B173="","",SUMPRODUCT(('LOG VẮNG'!$C$2:$C$1000&lt;&gt;"")*(YEAR('LOG VẮNG'!$C$2:$C$1000)=2026)*(MONTH('LOG VẮNG'!$C$2:$C$1000)=11)*ISNUMBER(SEARCH($A173,'LOG VẮNG'!$D$2:$D$1000))))</f>
        <v/>
      </c>
      <c r="N173" s="40">
        <f>IF($B173="","",SUMPRODUCT(('LOG VẮNG'!$C$2:$C$1000&lt;&gt;"")*(YEAR('LOG VẮNG'!$C$2:$C$1000)=2026)*(MONTH('LOG VẮNG'!$C$2:$C$1000)=12)*ISNUMBER(SEARCH($A173,'LOG VẮNG'!$D$2:$D$1000))))</f>
        <v/>
      </c>
      <c r="O173" s="40">
        <f>IF($B173="","",SUM(C173:N173))</f>
        <v/>
      </c>
    </row>
    <row r="174">
      <c r="A174" s="40" t="inlineStr">
        <is>
          <t>ORI172</t>
        </is>
      </c>
      <c r="B174" s="46">
        <f>IFERROR(INDEX('HỌC VIÊN'!$B$4:$B$203,MATCH($A174,'HỌC VIÊN'!$A$4:$A$203,0)),"")</f>
        <v/>
      </c>
      <c r="C174" s="40">
        <f>IF($B174="","",SUMPRODUCT(('LOG VẮNG'!$C$2:$C$1000&lt;&gt;"")*(YEAR('LOG VẮNG'!$C$2:$C$1000)=2026)*(MONTH('LOG VẮNG'!$C$2:$C$1000)=1)*ISNUMBER(SEARCH($A174,'LOG VẮNG'!$D$2:$D$1000))))</f>
        <v/>
      </c>
      <c r="D174" s="40">
        <f>IF($B174="","",SUMPRODUCT(('LOG VẮNG'!$C$2:$C$1000&lt;&gt;"")*(YEAR('LOG VẮNG'!$C$2:$C$1000)=2026)*(MONTH('LOG VẮNG'!$C$2:$C$1000)=2)*ISNUMBER(SEARCH($A174,'LOG VẮNG'!$D$2:$D$1000))))</f>
        <v/>
      </c>
      <c r="E174" s="40">
        <f>IF($B174="","",SUMPRODUCT(('LOG VẮNG'!$C$2:$C$1000&lt;&gt;"")*(YEAR('LOG VẮNG'!$C$2:$C$1000)=2026)*(MONTH('LOG VẮNG'!$C$2:$C$1000)=3)*ISNUMBER(SEARCH($A174,'LOG VẮNG'!$D$2:$D$1000))))</f>
        <v/>
      </c>
      <c r="F174" s="40">
        <f>IF($B174="","",SUMPRODUCT(('LOG VẮNG'!$C$2:$C$1000&lt;&gt;"")*(YEAR('LOG VẮNG'!$C$2:$C$1000)=2026)*(MONTH('LOG VẮNG'!$C$2:$C$1000)=4)*ISNUMBER(SEARCH($A174,'LOG VẮNG'!$D$2:$D$1000))))</f>
        <v/>
      </c>
      <c r="G174" s="40">
        <f>IF($B174="","",SUMPRODUCT(('LOG VẮNG'!$C$2:$C$1000&lt;&gt;"")*(YEAR('LOG VẮNG'!$C$2:$C$1000)=2026)*(MONTH('LOG VẮNG'!$C$2:$C$1000)=5)*ISNUMBER(SEARCH($A174,'LOG VẮNG'!$D$2:$D$1000))))</f>
        <v/>
      </c>
      <c r="H174" s="40">
        <f>IF($B174="","",SUMPRODUCT(('LOG VẮNG'!$C$2:$C$1000&lt;&gt;"")*(YEAR('LOG VẮNG'!$C$2:$C$1000)=2026)*(MONTH('LOG VẮNG'!$C$2:$C$1000)=6)*ISNUMBER(SEARCH($A174,'LOG VẮNG'!$D$2:$D$1000))))</f>
        <v/>
      </c>
      <c r="I174" s="40">
        <f>IF($B174="","",SUMPRODUCT(('LOG VẮNG'!$C$2:$C$1000&lt;&gt;"")*(YEAR('LOG VẮNG'!$C$2:$C$1000)=2026)*(MONTH('LOG VẮNG'!$C$2:$C$1000)=7)*ISNUMBER(SEARCH($A174,'LOG VẮNG'!$D$2:$D$1000))))</f>
        <v/>
      </c>
      <c r="J174" s="40">
        <f>IF($B174="","",SUMPRODUCT(('LOG VẮNG'!$C$2:$C$1000&lt;&gt;"")*(YEAR('LOG VẮNG'!$C$2:$C$1000)=2026)*(MONTH('LOG VẮNG'!$C$2:$C$1000)=8)*ISNUMBER(SEARCH($A174,'LOG VẮNG'!$D$2:$D$1000))))</f>
        <v/>
      </c>
      <c r="K174" s="40">
        <f>IF($B174="","",SUMPRODUCT(('LOG VẮNG'!$C$2:$C$1000&lt;&gt;"")*(YEAR('LOG VẮNG'!$C$2:$C$1000)=2026)*(MONTH('LOG VẮNG'!$C$2:$C$1000)=9)*ISNUMBER(SEARCH($A174,'LOG VẮNG'!$D$2:$D$1000))))</f>
        <v/>
      </c>
      <c r="L174" s="40">
        <f>IF($B174="","",SUMPRODUCT(('LOG VẮNG'!$C$2:$C$1000&lt;&gt;"")*(YEAR('LOG VẮNG'!$C$2:$C$1000)=2026)*(MONTH('LOG VẮNG'!$C$2:$C$1000)=10)*ISNUMBER(SEARCH($A174,'LOG VẮNG'!$D$2:$D$1000))))</f>
        <v/>
      </c>
      <c r="M174" s="40">
        <f>IF($B174="","",SUMPRODUCT(('LOG VẮNG'!$C$2:$C$1000&lt;&gt;"")*(YEAR('LOG VẮNG'!$C$2:$C$1000)=2026)*(MONTH('LOG VẮNG'!$C$2:$C$1000)=11)*ISNUMBER(SEARCH($A174,'LOG VẮNG'!$D$2:$D$1000))))</f>
        <v/>
      </c>
      <c r="N174" s="40">
        <f>IF($B174="","",SUMPRODUCT(('LOG VẮNG'!$C$2:$C$1000&lt;&gt;"")*(YEAR('LOG VẮNG'!$C$2:$C$1000)=2026)*(MONTH('LOG VẮNG'!$C$2:$C$1000)=12)*ISNUMBER(SEARCH($A174,'LOG VẮNG'!$D$2:$D$1000))))</f>
        <v/>
      </c>
      <c r="O174" s="40">
        <f>IF($B174="","",SUM(C174:N174))</f>
        <v/>
      </c>
    </row>
    <row r="175">
      <c r="A175" s="40" t="inlineStr">
        <is>
          <t>ORI173</t>
        </is>
      </c>
      <c r="B175" s="46">
        <f>IFERROR(INDEX('HỌC VIÊN'!$B$4:$B$203,MATCH($A175,'HỌC VIÊN'!$A$4:$A$203,0)),"")</f>
        <v/>
      </c>
      <c r="C175" s="40">
        <f>IF($B175="","",SUMPRODUCT(('LOG VẮNG'!$C$2:$C$1000&lt;&gt;"")*(YEAR('LOG VẮNG'!$C$2:$C$1000)=2026)*(MONTH('LOG VẮNG'!$C$2:$C$1000)=1)*ISNUMBER(SEARCH($A175,'LOG VẮNG'!$D$2:$D$1000))))</f>
        <v/>
      </c>
      <c r="D175" s="40">
        <f>IF($B175="","",SUMPRODUCT(('LOG VẮNG'!$C$2:$C$1000&lt;&gt;"")*(YEAR('LOG VẮNG'!$C$2:$C$1000)=2026)*(MONTH('LOG VẮNG'!$C$2:$C$1000)=2)*ISNUMBER(SEARCH($A175,'LOG VẮNG'!$D$2:$D$1000))))</f>
        <v/>
      </c>
      <c r="E175" s="40">
        <f>IF($B175="","",SUMPRODUCT(('LOG VẮNG'!$C$2:$C$1000&lt;&gt;"")*(YEAR('LOG VẮNG'!$C$2:$C$1000)=2026)*(MONTH('LOG VẮNG'!$C$2:$C$1000)=3)*ISNUMBER(SEARCH($A175,'LOG VẮNG'!$D$2:$D$1000))))</f>
        <v/>
      </c>
      <c r="F175" s="40">
        <f>IF($B175="","",SUMPRODUCT(('LOG VẮNG'!$C$2:$C$1000&lt;&gt;"")*(YEAR('LOG VẮNG'!$C$2:$C$1000)=2026)*(MONTH('LOG VẮNG'!$C$2:$C$1000)=4)*ISNUMBER(SEARCH($A175,'LOG VẮNG'!$D$2:$D$1000))))</f>
        <v/>
      </c>
      <c r="G175" s="40">
        <f>IF($B175="","",SUMPRODUCT(('LOG VẮNG'!$C$2:$C$1000&lt;&gt;"")*(YEAR('LOG VẮNG'!$C$2:$C$1000)=2026)*(MONTH('LOG VẮNG'!$C$2:$C$1000)=5)*ISNUMBER(SEARCH($A175,'LOG VẮNG'!$D$2:$D$1000))))</f>
        <v/>
      </c>
      <c r="H175" s="40">
        <f>IF($B175="","",SUMPRODUCT(('LOG VẮNG'!$C$2:$C$1000&lt;&gt;"")*(YEAR('LOG VẮNG'!$C$2:$C$1000)=2026)*(MONTH('LOG VẮNG'!$C$2:$C$1000)=6)*ISNUMBER(SEARCH($A175,'LOG VẮNG'!$D$2:$D$1000))))</f>
        <v/>
      </c>
      <c r="I175" s="40">
        <f>IF($B175="","",SUMPRODUCT(('LOG VẮNG'!$C$2:$C$1000&lt;&gt;"")*(YEAR('LOG VẮNG'!$C$2:$C$1000)=2026)*(MONTH('LOG VẮNG'!$C$2:$C$1000)=7)*ISNUMBER(SEARCH($A175,'LOG VẮNG'!$D$2:$D$1000))))</f>
        <v/>
      </c>
      <c r="J175" s="40">
        <f>IF($B175="","",SUMPRODUCT(('LOG VẮNG'!$C$2:$C$1000&lt;&gt;"")*(YEAR('LOG VẮNG'!$C$2:$C$1000)=2026)*(MONTH('LOG VẮNG'!$C$2:$C$1000)=8)*ISNUMBER(SEARCH($A175,'LOG VẮNG'!$D$2:$D$1000))))</f>
        <v/>
      </c>
      <c r="K175" s="40">
        <f>IF($B175="","",SUMPRODUCT(('LOG VẮNG'!$C$2:$C$1000&lt;&gt;"")*(YEAR('LOG VẮNG'!$C$2:$C$1000)=2026)*(MONTH('LOG VẮNG'!$C$2:$C$1000)=9)*ISNUMBER(SEARCH($A175,'LOG VẮNG'!$D$2:$D$1000))))</f>
        <v/>
      </c>
      <c r="L175" s="40">
        <f>IF($B175="","",SUMPRODUCT(('LOG VẮNG'!$C$2:$C$1000&lt;&gt;"")*(YEAR('LOG VẮNG'!$C$2:$C$1000)=2026)*(MONTH('LOG VẮNG'!$C$2:$C$1000)=10)*ISNUMBER(SEARCH($A175,'LOG VẮNG'!$D$2:$D$1000))))</f>
        <v/>
      </c>
      <c r="M175" s="40">
        <f>IF($B175="","",SUMPRODUCT(('LOG VẮNG'!$C$2:$C$1000&lt;&gt;"")*(YEAR('LOG VẮNG'!$C$2:$C$1000)=2026)*(MONTH('LOG VẮNG'!$C$2:$C$1000)=11)*ISNUMBER(SEARCH($A175,'LOG VẮNG'!$D$2:$D$1000))))</f>
        <v/>
      </c>
      <c r="N175" s="40">
        <f>IF($B175="","",SUMPRODUCT(('LOG VẮNG'!$C$2:$C$1000&lt;&gt;"")*(YEAR('LOG VẮNG'!$C$2:$C$1000)=2026)*(MONTH('LOG VẮNG'!$C$2:$C$1000)=12)*ISNUMBER(SEARCH($A175,'LOG VẮNG'!$D$2:$D$1000))))</f>
        <v/>
      </c>
      <c r="O175" s="40">
        <f>IF($B175="","",SUM(C175:N175))</f>
        <v/>
      </c>
    </row>
    <row r="176">
      <c r="A176" s="40" t="inlineStr">
        <is>
          <t>ORI174</t>
        </is>
      </c>
      <c r="B176" s="46">
        <f>IFERROR(INDEX('HỌC VIÊN'!$B$4:$B$203,MATCH($A176,'HỌC VIÊN'!$A$4:$A$203,0)),"")</f>
        <v/>
      </c>
      <c r="C176" s="40">
        <f>IF($B176="","",SUMPRODUCT(('LOG VẮNG'!$C$2:$C$1000&lt;&gt;"")*(YEAR('LOG VẮNG'!$C$2:$C$1000)=2026)*(MONTH('LOG VẮNG'!$C$2:$C$1000)=1)*ISNUMBER(SEARCH($A176,'LOG VẮNG'!$D$2:$D$1000))))</f>
        <v/>
      </c>
      <c r="D176" s="40">
        <f>IF($B176="","",SUMPRODUCT(('LOG VẮNG'!$C$2:$C$1000&lt;&gt;"")*(YEAR('LOG VẮNG'!$C$2:$C$1000)=2026)*(MONTH('LOG VẮNG'!$C$2:$C$1000)=2)*ISNUMBER(SEARCH($A176,'LOG VẮNG'!$D$2:$D$1000))))</f>
        <v/>
      </c>
      <c r="E176" s="40">
        <f>IF($B176="","",SUMPRODUCT(('LOG VẮNG'!$C$2:$C$1000&lt;&gt;"")*(YEAR('LOG VẮNG'!$C$2:$C$1000)=2026)*(MONTH('LOG VẮNG'!$C$2:$C$1000)=3)*ISNUMBER(SEARCH($A176,'LOG VẮNG'!$D$2:$D$1000))))</f>
        <v/>
      </c>
      <c r="F176" s="40">
        <f>IF($B176="","",SUMPRODUCT(('LOG VẮNG'!$C$2:$C$1000&lt;&gt;"")*(YEAR('LOG VẮNG'!$C$2:$C$1000)=2026)*(MONTH('LOG VẮNG'!$C$2:$C$1000)=4)*ISNUMBER(SEARCH($A176,'LOG VẮNG'!$D$2:$D$1000))))</f>
        <v/>
      </c>
      <c r="G176" s="40">
        <f>IF($B176="","",SUMPRODUCT(('LOG VẮNG'!$C$2:$C$1000&lt;&gt;"")*(YEAR('LOG VẮNG'!$C$2:$C$1000)=2026)*(MONTH('LOG VẮNG'!$C$2:$C$1000)=5)*ISNUMBER(SEARCH($A176,'LOG VẮNG'!$D$2:$D$1000))))</f>
        <v/>
      </c>
      <c r="H176" s="40">
        <f>IF($B176="","",SUMPRODUCT(('LOG VẮNG'!$C$2:$C$1000&lt;&gt;"")*(YEAR('LOG VẮNG'!$C$2:$C$1000)=2026)*(MONTH('LOG VẮNG'!$C$2:$C$1000)=6)*ISNUMBER(SEARCH($A176,'LOG VẮNG'!$D$2:$D$1000))))</f>
        <v/>
      </c>
      <c r="I176" s="40">
        <f>IF($B176="","",SUMPRODUCT(('LOG VẮNG'!$C$2:$C$1000&lt;&gt;"")*(YEAR('LOG VẮNG'!$C$2:$C$1000)=2026)*(MONTH('LOG VẮNG'!$C$2:$C$1000)=7)*ISNUMBER(SEARCH($A176,'LOG VẮNG'!$D$2:$D$1000))))</f>
        <v/>
      </c>
      <c r="J176" s="40">
        <f>IF($B176="","",SUMPRODUCT(('LOG VẮNG'!$C$2:$C$1000&lt;&gt;"")*(YEAR('LOG VẮNG'!$C$2:$C$1000)=2026)*(MONTH('LOG VẮNG'!$C$2:$C$1000)=8)*ISNUMBER(SEARCH($A176,'LOG VẮNG'!$D$2:$D$1000))))</f>
        <v/>
      </c>
      <c r="K176" s="40">
        <f>IF($B176="","",SUMPRODUCT(('LOG VẮNG'!$C$2:$C$1000&lt;&gt;"")*(YEAR('LOG VẮNG'!$C$2:$C$1000)=2026)*(MONTH('LOG VẮNG'!$C$2:$C$1000)=9)*ISNUMBER(SEARCH($A176,'LOG VẮNG'!$D$2:$D$1000))))</f>
        <v/>
      </c>
      <c r="L176" s="40">
        <f>IF($B176="","",SUMPRODUCT(('LOG VẮNG'!$C$2:$C$1000&lt;&gt;"")*(YEAR('LOG VẮNG'!$C$2:$C$1000)=2026)*(MONTH('LOG VẮNG'!$C$2:$C$1000)=10)*ISNUMBER(SEARCH($A176,'LOG VẮNG'!$D$2:$D$1000))))</f>
        <v/>
      </c>
      <c r="M176" s="40">
        <f>IF($B176="","",SUMPRODUCT(('LOG VẮNG'!$C$2:$C$1000&lt;&gt;"")*(YEAR('LOG VẮNG'!$C$2:$C$1000)=2026)*(MONTH('LOG VẮNG'!$C$2:$C$1000)=11)*ISNUMBER(SEARCH($A176,'LOG VẮNG'!$D$2:$D$1000))))</f>
        <v/>
      </c>
      <c r="N176" s="40">
        <f>IF($B176="","",SUMPRODUCT(('LOG VẮNG'!$C$2:$C$1000&lt;&gt;"")*(YEAR('LOG VẮNG'!$C$2:$C$1000)=2026)*(MONTH('LOG VẮNG'!$C$2:$C$1000)=12)*ISNUMBER(SEARCH($A176,'LOG VẮNG'!$D$2:$D$1000))))</f>
        <v/>
      </c>
      <c r="O176" s="40">
        <f>IF($B176="","",SUM(C176:N176))</f>
        <v/>
      </c>
    </row>
    <row r="177">
      <c r="A177" s="40" t="inlineStr">
        <is>
          <t>ORI175</t>
        </is>
      </c>
      <c r="B177" s="46">
        <f>IFERROR(INDEX('HỌC VIÊN'!$B$4:$B$203,MATCH($A177,'HỌC VIÊN'!$A$4:$A$203,0)),"")</f>
        <v/>
      </c>
      <c r="C177" s="40">
        <f>IF($B177="","",SUMPRODUCT(('LOG VẮNG'!$C$2:$C$1000&lt;&gt;"")*(YEAR('LOG VẮNG'!$C$2:$C$1000)=2026)*(MONTH('LOG VẮNG'!$C$2:$C$1000)=1)*ISNUMBER(SEARCH($A177,'LOG VẮNG'!$D$2:$D$1000))))</f>
        <v/>
      </c>
      <c r="D177" s="40">
        <f>IF($B177="","",SUMPRODUCT(('LOG VẮNG'!$C$2:$C$1000&lt;&gt;"")*(YEAR('LOG VẮNG'!$C$2:$C$1000)=2026)*(MONTH('LOG VẮNG'!$C$2:$C$1000)=2)*ISNUMBER(SEARCH($A177,'LOG VẮNG'!$D$2:$D$1000))))</f>
        <v/>
      </c>
      <c r="E177" s="40">
        <f>IF($B177="","",SUMPRODUCT(('LOG VẮNG'!$C$2:$C$1000&lt;&gt;"")*(YEAR('LOG VẮNG'!$C$2:$C$1000)=2026)*(MONTH('LOG VẮNG'!$C$2:$C$1000)=3)*ISNUMBER(SEARCH($A177,'LOG VẮNG'!$D$2:$D$1000))))</f>
        <v/>
      </c>
      <c r="F177" s="40">
        <f>IF($B177="","",SUMPRODUCT(('LOG VẮNG'!$C$2:$C$1000&lt;&gt;"")*(YEAR('LOG VẮNG'!$C$2:$C$1000)=2026)*(MONTH('LOG VẮNG'!$C$2:$C$1000)=4)*ISNUMBER(SEARCH($A177,'LOG VẮNG'!$D$2:$D$1000))))</f>
        <v/>
      </c>
      <c r="G177" s="40">
        <f>IF($B177="","",SUMPRODUCT(('LOG VẮNG'!$C$2:$C$1000&lt;&gt;"")*(YEAR('LOG VẮNG'!$C$2:$C$1000)=2026)*(MONTH('LOG VẮNG'!$C$2:$C$1000)=5)*ISNUMBER(SEARCH($A177,'LOG VẮNG'!$D$2:$D$1000))))</f>
        <v/>
      </c>
      <c r="H177" s="40">
        <f>IF($B177="","",SUMPRODUCT(('LOG VẮNG'!$C$2:$C$1000&lt;&gt;"")*(YEAR('LOG VẮNG'!$C$2:$C$1000)=2026)*(MONTH('LOG VẮNG'!$C$2:$C$1000)=6)*ISNUMBER(SEARCH($A177,'LOG VẮNG'!$D$2:$D$1000))))</f>
        <v/>
      </c>
      <c r="I177" s="40">
        <f>IF($B177="","",SUMPRODUCT(('LOG VẮNG'!$C$2:$C$1000&lt;&gt;"")*(YEAR('LOG VẮNG'!$C$2:$C$1000)=2026)*(MONTH('LOG VẮNG'!$C$2:$C$1000)=7)*ISNUMBER(SEARCH($A177,'LOG VẮNG'!$D$2:$D$1000))))</f>
        <v/>
      </c>
      <c r="J177" s="40">
        <f>IF($B177="","",SUMPRODUCT(('LOG VẮNG'!$C$2:$C$1000&lt;&gt;"")*(YEAR('LOG VẮNG'!$C$2:$C$1000)=2026)*(MONTH('LOG VẮNG'!$C$2:$C$1000)=8)*ISNUMBER(SEARCH($A177,'LOG VẮNG'!$D$2:$D$1000))))</f>
        <v/>
      </c>
      <c r="K177" s="40">
        <f>IF($B177="","",SUMPRODUCT(('LOG VẮNG'!$C$2:$C$1000&lt;&gt;"")*(YEAR('LOG VẮNG'!$C$2:$C$1000)=2026)*(MONTH('LOG VẮNG'!$C$2:$C$1000)=9)*ISNUMBER(SEARCH($A177,'LOG VẮNG'!$D$2:$D$1000))))</f>
        <v/>
      </c>
      <c r="L177" s="40">
        <f>IF($B177="","",SUMPRODUCT(('LOG VẮNG'!$C$2:$C$1000&lt;&gt;"")*(YEAR('LOG VẮNG'!$C$2:$C$1000)=2026)*(MONTH('LOG VẮNG'!$C$2:$C$1000)=10)*ISNUMBER(SEARCH($A177,'LOG VẮNG'!$D$2:$D$1000))))</f>
        <v/>
      </c>
      <c r="M177" s="40">
        <f>IF($B177="","",SUMPRODUCT(('LOG VẮNG'!$C$2:$C$1000&lt;&gt;"")*(YEAR('LOG VẮNG'!$C$2:$C$1000)=2026)*(MONTH('LOG VẮNG'!$C$2:$C$1000)=11)*ISNUMBER(SEARCH($A177,'LOG VẮNG'!$D$2:$D$1000))))</f>
        <v/>
      </c>
      <c r="N177" s="40">
        <f>IF($B177="","",SUMPRODUCT(('LOG VẮNG'!$C$2:$C$1000&lt;&gt;"")*(YEAR('LOG VẮNG'!$C$2:$C$1000)=2026)*(MONTH('LOG VẮNG'!$C$2:$C$1000)=12)*ISNUMBER(SEARCH($A177,'LOG VẮNG'!$D$2:$D$1000))))</f>
        <v/>
      </c>
      <c r="O177" s="40">
        <f>IF($B177="","",SUM(C177:N177))</f>
        <v/>
      </c>
    </row>
    <row r="178">
      <c r="A178" s="40" t="inlineStr">
        <is>
          <t>ORI176</t>
        </is>
      </c>
      <c r="B178" s="46">
        <f>IFERROR(INDEX('HỌC VIÊN'!$B$4:$B$203,MATCH($A178,'HỌC VIÊN'!$A$4:$A$203,0)),"")</f>
        <v/>
      </c>
      <c r="C178" s="40">
        <f>IF($B178="","",SUMPRODUCT(('LOG VẮNG'!$C$2:$C$1000&lt;&gt;"")*(YEAR('LOG VẮNG'!$C$2:$C$1000)=2026)*(MONTH('LOG VẮNG'!$C$2:$C$1000)=1)*ISNUMBER(SEARCH($A178,'LOG VẮNG'!$D$2:$D$1000))))</f>
        <v/>
      </c>
      <c r="D178" s="40">
        <f>IF($B178="","",SUMPRODUCT(('LOG VẮNG'!$C$2:$C$1000&lt;&gt;"")*(YEAR('LOG VẮNG'!$C$2:$C$1000)=2026)*(MONTH('LOG VẮNG'!$C$2:$C$1000)=2)*ISNUMBER(SEARCH($A178,'LOG VẮNG'!$D$2:$D$1000))))</f>
        <v/>
      </c>
      <c r="E178" s="40">
        <f>IF($B178="","",SUMPRODUCT(('LOG VẮNG'!$C$2:$C$1000&lt;&gt;"")*(YEAR('LOG VẮNG'!$C$2:$C$1000)=2026)*(MONTH('LOG VẮNG'!$C$2:$C$1000)=3)*ISNUMBER(SEARCH($A178,'LOG VẮNG'!$D$2:$D$1000))))</f>
        <v/>
      </c>
      <c r="F178" s="40">
        <f>IF($B178="","",SUMPRODUCT(('LOG VẮNG'!$C$2:$C$1000&lt;&gt;"")*(YEAR('LOG VẮNG'!$C$2:$C$1000)=2026)*(MONTH('LOG VẮNG'!$C$2:$C$1000)=4)*ISNUMBER(SEARCH($A178,'LOG VẮNG'!$D$2:$D$1000))))</f>
        <v/>
      </c>
      <c r="G178" s="40">
        <f>IF($B178="","",SUMPRODUCT(('LOG VẮNG'!$C$2:$C$1000&lt;&gt;"")*(YEAR('LOG VẮNG'!$C$2:$C$1000)=2026)*(MONTH('LOG VẮNG'!$C$2:$C$1000)=5)*ISNUMBER(SEARCH($A178,'LOG VẮNG'!$D$2:$D$1000))))</f>
        <v/>
      </c>
      <c r="H178" s="40">
        <f>IF($B178="","",SUMPRODUCT(('LOG VẮNG'!$C$2:$C$1000&lt;&gt;"")*(YEAR('LOG VẮNG'!$C$2:$C$1000)=2026)*(MONTH('LOG VẮNG'!$C$2:$C$1000)=6)*ISNUMBER(SEARCH($A178,'LOG VẮNG'!$D$2:$D$1000))))</f>
        <v/>
      </c>
      <c r="I178" s="40">
        <f>IF($B178="","",SUMPRODUCT(('LOG VẮNG'!$C$2:$C$1000&lt;&gt;"")*(YEAR('LOG VẮNG'!$C$2:$C$1000)=2026)*(MONTH('LOG VẮNG'!$C$2:$C$1000)=7)*ISNUMBER(SEARCH($A178,'LOG VẮNG'!$D$2:$D$1000))))</f>
        <v/>
      </c>
      <c r="J178" s="40">
        <f>IF($B178="","",SUMPRODUCT(('LOG VẮNG'!$C$2:$C$1000&lt;&gt;"")*(YEAR('LOG VẮNG'!$C$2:$C$1000)=2026)*(MONTH('LOG VẮNG'!$C$2:$C$1000)=8)*ISNUMBER(SEARCH($A178,'LOG VẮNG'!$D$2:$D$1000))))</f>
        <v/>
      </c>
      <c r="K178" s="40">
        <f>IF($B178="","",SUMPRODUCT(('LOG VẮNG'!$C$2:$C$1000&lt;&gt;"")*(YEAR('LOG VẮNG'!$C$2:$C$1000)=2026)*(MONTH('LOG VẮNG'!$C$2:$C$1000)=9)*ISNUMBER(SEARCH($A178,'LOG VẮNG'!$D$2:$D$1000))))</f>
        <v/>
      </c>
      <c r="L178" s="40">
        <f>IF($B178="","",SUMPRODUCT(('LOG VẮNG'!$C$2:$C$1000&lt;&gt;"")*(YEAR('LOG VẮNG'!$C$2:$C$1000)=2026)*(MONTH('LOG VẮNG'!$C$2:$C$1000)=10)*ISNUMBER(SEARCH($A178,'LOG VẮNG'!$D$2:$D$1000))))</f>
        <v/>
      </c>
      <c r="M178" s="40">
        <f>IF($B178="","",SUMPRODUCT(('LOG VẮNG'!$C$2:$C$1000&lt;&gt;"")*(YEAR('LOG VẮNG'!$C$2:$C$1000)=2026)*(MONTH('LOG VẮNG'!$C$2:$C$1000)=11)*ISNUMBER(SEARCH($A178,'LOG VẮNG'!$D$2:$D$1000))))</f>
        <v/>
      </c>
      <c r="N178" s="40">
        <f>IF($B178="","",SUMPRODUCT(('LOG VẮNG'!$C$2:$C$1000&lt;&gt;"")*(YEAR('LOG VẮNG'!$C$2:$C$1000)=2026)*(MONTH('LOG VẮNG'!$C$2:$C$1000)=12)*ISNUMBER(SEARCH($A178,'LOG VẮNG'!$D$2:$D$1000))))</f>
        <v/>
      </c>
      <c r="O178" s="40">
        <f>IF($B178="","",SUM(C178:N178))</f>
        <v/>
      </c>
    </row>
    <row r="179">
      <c r="A179" s="40" t="inlineStr">
        <is>
          <t>ORI177</t>
        </is>
      </c>
      <c r="B179" s="46">
        <f>IFERROR(INDEX('HỌC VIÊN'!$B$4:$B$203,MATCH($A179,'HỌC VIÊN'!$A$4:$A$203,0)),"")</f>
        <v/>
      </c>
      <c r="C179" s="40">
        <f>IF($B179="","",SUMPRODUCT(('LOG VẮNG'!$C$2:$C$1000&lt;&gt;"")*(YEAR('LOG VẮNG'!$C$2:$C$1000)=2026)*(MONTH('LOG VẮNG'!$C$2:$C$1000)=1)*ISNUMBER(SEARCH($A179,'LOG VẮNG'!$D$2:$D$1000))))</f>
        <v/>
      </c>
      <c r="D179" s="40">
        <f>IF($B179="","",SUMPRODUCT(('LOG VẮNG'!$C$2:$C$1000&lt;&gt;"")*(YEAR('LOG VẮNG'!$C$2:$C$1000)=2026)*(MONTH('LOG VẮNG'!$C$2:$C$1000)=2)*ISNUMBER(SEARCH($A179,'LOG VẮNG'!$D$2:$D$1000))))</f>
        <v/>
      </c>
      <c r="E179" s="40">
        <f>IF($B179="","",SUMPRODUCT(('LOG VẮNG'!$C$2:$C$1000&lt;&gt;"")*(YEAR('LOG VẮNG'!$C$2:$C$1000)=2026)*(MONTH('LOG VẮNG'!$C$2:$C$1000)=3)*ISNUMBER(SEARCH($A179,'LOG VẮNG'!$D$2:$D$1000))))</f>
        <v/>
      </c>
      <c r="F179" s="40">
        <f>IF($B179="","",SUMPRODUCT(('LOG VẮNG'!$C$2:$C$1000&lt;&gt;"")*(YEAR('LOG VẮNG'!$C$2:$C$1000)=2026)*(MONTH('LOG VẮNG'!$C$2:$C$1000)=4)*ISNUMBER(SEARCH($A179,'LOG VẮNG'!$D$2:$D$1000))))</f>
        <v/>
      </c>
      <c r="G179" s="40">
        <f>IF($B179="","",SUMPRODUCT(('LOG VẮNG'!$C$2:$C$1000&lt;&gt;"")*(YEAR('LOG VẮNG'!$C$2:$C$1000)=2026)*(MONTH('LOG VẮNG'!$C$2:$C$1000)=5)*ISNUMBER(SEARCH($A179,'LOG VẮNG'!$D$2:$D$1000))))</f>
        <v/>
      </c>
      <c r="H179" s="40">
        <f>IF($B179="","",SUMPRODUCT(('LOG VẮNG'!$C$2:$C$1000&lt;&gt;"")*(YEAR('LOG VẮNG'!$C$2:$C$1000)=2026)*(MONTH('LOG VẮNG'!$C$2:$C$1000)=6)*ISNUMBER(SEARCH($A179,'LOG VẮNG'!$D$2:$D$1000))))</f>
        <v/>
      </c>
      <c r="I179" s="40">
        <f>IF($B179="","",SUMPRODUCT(('LOG VẮNG'!$C$2:$C$1000&lt;&gt;"")*(YEAR('LOG VẮNG'!$C$2:$C$1000)=2026)*(MONTH('LOG VẮNG'!$C$2:$C$1000)=7)*ISNUMBER(SEARCH($A179,'LOG VẮNG'!$D$2:$D$1000))))</f>
        <v/>
      </c>
      <c r="J179" s="40">
        <f>IF($B179="","",SUMPRODUCT(('LOG VẮNG'!$C$2:$C$1000&lt;&gt;"")*(YEAR('LOG VẮNG'!$C$2:$C$1000)=2026)*(MONTH('LOG VẮNG'!$C$2:$C$1000)=8)*ISNUMBER(SEARCH($A179,'LOG VẮNG'!$D$2:$D$1000))))</f>
        <v/>
      </c>
      <c r="K179" s="40">
        <f>IF($B179="","",SUMPRODUCT(('LOG VẮNG'!$C$2:$C$1000&lt;&gt;"")*(YEAR('LOG VẮNG'!$C$2:$C$1000)=2026)*(MONTH('LOG VẮNG'!$C$2:$C$1000)=9)*ISNUMBER(SEARCH($A179,'LOG VẮNG'!$D$2:$D$1000))))</f>
        <v/>
      </c>
      <c r="L179" s="40">
        <f>IF($B179="","",SUMPRODUCT(('LOG VẮNG'!$C$2:$C$1000&lt;&gt;"")*(YEAR('LOG VẮNG'!$C$2:$C$1000)=2026)*(MONTH('LOG VẮNG'!$C$2:$C$1000)=10)*ISNUMBER(SEARCH($A179,'LOG VẮNG'!$D$2:$D$1000))))</f>
        <v/>
      </c>
      <c r="M179" s="40">
        <f>IF($B179="","",SUMPRODUCT(('LOG VẮNG'!$C$2:$C$1000&lt;&gt;"")*(YEAR('LOG VẮNG'!$C$2:$C$1000)=2026)*(MONTH('LOG VẮNG'!$C$2:$C$1000)=11)*ISNUMBER(SEARCH($A179,'LOG VẮNG'!$D$2:$D$1000))))</f>
        <v/>
      </c>
      <c r="N179" s="40">
        <f>IF($B179="","",SUMPRODUCT(('LOG VẮNG'!$C$2:$C$1000&lt;&gt;"")*(YEAR('LOG VẮNG'!$C$2:$C$1000)=2026)*(MONTH('LOG VẮNG'!$C$2:$C$1000)=12)*ISNUMBER(SEARCH($A179,'LOG VẮNG'!$D$2:$D$1000))))</f>
        <v/>
      </c>
      <c r="O179" s="40">
        <f>IF($B179="","",SUM(C179:N179))</f>
        <v/>
      </c>
    </row>
    <row r="180">
      <c r="A180" s="40" t="inlineStr">
        <is>
          <t>ORI178</t>
        </is>
      </c>
      <c r="B180" s="46">
        <f>IFERROR(INDEX('HỌC VIÊN'!$B$4:$B$203,MATCH($A180,'HỌC VIÊN'!$A$4:$A$203,0)),"")</f>
        <v/>
      </c>
      <c r="C180" s="40">
        <f>IF($B180="","",SUMPRODUCT(('LOG VẮNG'!$C$2:$C$1000&lt;&gt;"")*(YEAR('LOG VẮNG'!$C$2:$C$1000)=2026)*(MONTH('LOG VẮNG'!$C$2:$C$1000)=1)*ISNUMBER(SEARCH($A180,'LOG VẮNG'!$D$2:$D$1000))))</f>
        <v/>
      </c>
      <c r="D180" s="40">
        <f>IF($B180="","",SUMPRODUCT(('LOG VẮNG'!$C$2:$C$1000&lt;&gt;"")*(YEAR('LOG VẮNG'!$C$2:$C$1000)=2026)*(MONTH('LOG VẮNG'!$C$2:$C$1000)=2)*ISNUMBER(SEARCH($A180,'LOG VẮNG'!$D$2:$D$1000))))</f>
        <v/>
      </c>
      <c r="E180" s="40">
        <f>IF($B180="","",SUMPRODUCT(('LOG VẮNG'!$C$2:$C$1000&lt;&gt;"")*(YEAR('LOG VẮNG'!$C$2:$C$1000)=2026)*(MONTH('LOG VẮNG'!$C$2:$C$1000)=3)*ISNUMBER(SEARCH($A180,'LOG VẮNG'!$D$2:$D$1000))))</f>
        <v/>
      </c>
      <c r="F180" s="40">
        <f>IF($B180="","",SUMPRODUCT(('LOG VẮNG'!$C$2:$C$1000&lt;&gt;"")*(YEAR('LOG VẮNG'!$C$2:$C$1000)=2026)*(MONTH('LOG VẮNG'!$C$2:$C$1000)=4)*ISNUMBER(SEARCH($A180,'LOG VẮNG'!$D$2:$D$1000))))</f>
        <v/>
      </c>
      <c r="G180" s="40">
        <f>IF($B180="","",SUMPRODUCT(('LOG VẮNG'!$C$2:$C$1000&lt;&gt;"")*(YEAR('LOG VẮNG'!$C$2:$C$1000)=2026)*(MONTH('LOG VẮNG'!$C$2:$C$1000)=5)*ISNUMBER(SEARCH($A180,'LOG VẮNG'!$D$2:$D$1000))))</f>
        <v/>
      </c>
      <c r="H180" s="40">
        <f>IF($B180="","",SUMPRODUCT(('LOG VẮNG'!$C$2:$C$1000&lt;&gt;"")*(YEAR('LOG VẮNG'!$C$2:$C$1000)=2026)*(MONTH('LOG VẮNG'!$C$2:$C$1000)=6)*ISNUMBER(SEARCH($A180,'LOG VẮNG'!$D$2:$D$1000))))</f>
        <v/>
      </c>
      <c r="I180" s="40">
        <f>IF($B180="","",SUMPRODUCT(('LOG VẮNG'!$C$2:$C$1000&lt;&gt;"")*(YEAR('LOG VẮNG'!$C$2:$C$1000)=2026)*(MONTH('LOG VẮNG'!$C$2:$C$1000)=7)*ISNUMBER(SEARCH($A180,'LOG VẮNG'!$D$2:$D$1000))))</f>
        <v/>
      </c>
      <c r="J180" s="40">
        <f>IF($B180="","",SUMPRODUCT(('LOG VẮNG'!$C$2:$C$1000&lt;&gt;"")*(YEAR('LOG VẮNG'!$C$2:$C$1000)=2026)*(MONTH('LOG VẮNG'!$C$2:$C$1000)=8)*ISNUMBER(SEARCH($A180,'LOG VẮNG'!$D$2:$D$1000))))</f>
        <v/>
      </c>
      <c r="K180" s="40">
        <f>IF($B180="","",SUMPRODUCT(('LOG VẮNG'!$C$2:$C$1000&lt;&gt;"")*(YEAR('LOG VẮNG'!$C$2:$C$1000)=2026)*(MONTH('LOG VẮNG'!$C$2:$C$1000)=9)*ISNUMBER(SEARCH($A180,'LOG VẮNG'!$D$2:$D$1000))))</f>
        <v/>
      </c>
      <c r="L180" s="40">
        <f>IF($B180="","",SUMPRODUCT(('LOG VẮNG'!$C$2:$C$1000&lt;&gt;"")*(YEAR('LOG VẮNG'!$C$2:$C$1000)=2026)*(MONTH('LOG VẮNG'!$C$2:$C$1000)=10)*ISNUMBER(SEARCH($A180,'LOG VẮNG'!$D$2:$D$1000))))</f>
        <v/>
      </c>
      <c r="M180" s="40">
        <f>IF($B180="","",SUMPRODUCT(('LOG VẮNG'!$C$2:$C$1000&lt;&gt;"")*(YEAR('LOG VẮNG'!$C$2:$C$1000)=2026)*(MONTH('LOG VẮNG'!$C$2:$C$1000)=11)*ISNUMBER(SEARCH($A180,'LOG VẮNG'!$D$2:$D$1000))))</f>
        <v/>
      </c>
      <c r="N180" s="40">
        <f>IF($B180="","",SUMPRODUCT(('LOG VẮNG'!$C$2:$C$1000&lt;&gt;"")*(YEAR('LOG VẮNG'!$C$2:$C$1000)=2026)*(MONTH('LOG VẮNG'!$C$2:$C$1000)=12)*ISNUMBER(SEARCH($A180,'LOG VẮNG'!$D$2:$D$1000))))</f>
        <v/>
      </c>
      <c r="O180" s="40">
        <f>IF($B180="","",SUM(C180:N180))</f>
        <v/>
      </c>
    </row>
    <row r="181">
      <c r="A181" s="40" t="inlineStr">
        <is>
          <t>ORI179</t>
        </is>
      </c>
      <c r="B181" s="46">
        <f>IFERROR(INDEX('HỌC VIÊN'!$B$4:$B$203,MATCH($A181,'HỌC VIÊN'!$A$4:$A$203,0)),"")</f>
        <v/>
      </c>
      <c r="C181" s="40">
        <f>IF($B181="","",SUMPRODUCT(('LOG VẮNG'!$C$2:$C$1000&lt;&gt;"")*(YEAR('LOG VẮNG'!$C$2:$C$1000)=2026)*(MONTH('LOG VẮNG'!$C$2:$C$1000)=1)*ISNUMBER(SEARCH($A181,'LOG VẮNG'!$D$2:$D$1000))))</f>
        <v/>
      </c>
      <c r="D181" s="40">
        <f>IF($B181="","",SUMPRODUCT(('LOG VẮNG'!$C$2:$C$1000&lt;&gt;"")*(YEAR('LOG VẮNG'!$C$2:$C$1000)=2026)*(MONTH('LOG VẮNG'!$C$2:$C$1000)=2)*ISNUMBER(SEARCH($A181,'LOG VẮNG'!$D$2:$D$1000))))</f>
        <v/>
      </c>
      <c r="E181" s="40">
        <f>IF($B181="","",SUMPRODUCT(('LOG VẮNG'!$C$2:$C$1000&lt;&gt;"")*(YEAR('LOG VẮNG'!$C$2:$C$1000)=2026)*(MONTH('LOG VẮNG'!$C$2:$C$1000)=3)*ISNUMBER(SEARCH($A181,'LOG VẮNG'!$D$2:$D$1000))))</f>
        <v/>
      </c>
      <c r="F181" s="40">
        <f>IF($B181="","",SUMPRODUCT(('LOG VẮNG'!$C$2:$C$1000&lt;&gt;"")*(YEAR('LOG VẮNG'!$C$2:$C$1000)=2026)*(MONTH('LOG VẮNG'!$C$2:$C$1000)=4)*ISNUMBER(SEARCH($A181,'LOG VẮNG'!$D$2:$D$1000))))</f>
        <v/>
      </c>
      <c r="G181" s="40">
        <f>IF($B181="","",SUMPRODUCT(('LOG VẮNG'!$C$2:$C$1000&lt;&gt;"")*(YEAR('LOG VẮNG'!$C$2:$C$1000)=2026)*(MONTH('LOG VẮNG'!$C$2:$C$1000)=5)*ISNUMBER(SEARCH($A181,'LOG VẮNG'!$D$2:$D$1000))))</f>
        <v/>
      </c>
      <c r="H181" s="40">
        <f>IF($B181="","",SUMPRODUCT(('LOG VẮNG'!$C$2:$C$1000&lt;&gt;"")*(YEAR('LOG VẮNG'!$C$2:$C$1000)=2026)*(MONTH('LOG VẮNG'!$C$2:$C$1000)=6)*ISNUMBER(SEARCH($A181,'LOG VẮNG'!$D$2:$D$1000))))</f>
        <v/>
      </c>
      <c r="I181" s="40">
        <f>IF($B181="","",SUMPRODUCT(('LOG VẮNG'!$C$2:$C$1000&lt;&gt;"")*(YEAR('LOG VẮNG'!$C$2:$C$1000)=2026)*(MONTH('LOG VẮNG'!$C$2:$C$1000)=7)*ISNUMBER(SEARCH($A181,'LOG VẮNG'!$D$2:$D$1000))))</f>
        <v/>
      </c>
      <c r="J181" s="40">
        <f>IF($B181="","",SUMPRODUCT(('LOG VẮNG'!$C$2:$C$1000&lt;&gt;"")*(YEAR('LOG VẮNG'!$C$2:$C$1000)=2026)*(MONTH('LOG VẮNG'!$C$2:$C$1000)=8)*ISNUMBER(SEARCH($A181,'LOG VẮNG'!$D$2:$D$1000))))</f>
        <v/>
      </c>
      <c r="K181" s="40">
        <f>IF($B181="","",SUMPRODUCT(('LOG VẮNG'!$C$2:$C$1000&lt;&gt;"")*(YEAR('LOG VẮNG'!$C$2:$C$1000)=2026)*(MONTH('LOG VẮNG'!$C$2:$C$1000)=9)*ISNUMBER(SEARCH($A181,'LOG VẮNG'!$D$2:$D$1000))))</f>
        <v/>
      </c>
      <c r="L181" s="40">
        <f>IF($B181="","",SUMPRODUCT(('LOG VẮNG'!$C$2:$C$1000&lt;&gt;"")*(YEAR('LOG VẮNG'!$C$2:$C$1000)=2026)*(MONTH('LOG VẮNG'!$C$2:$C$1000)=10)*ISNUMBER(SEARCH($A181,'LOG VẮNG'!$D$2:$D$1000))))</f>
        <v/>
      </c>
      <c r="M181" s="40">
        <f>IF($B181="","",SUMPRODUCT(('LOG VẮNG'!$C$2:$C$1000&lt;&gt;"")*(YEAR('LOG VẮNG'!$C$2:$C$1000)=2026)*(MONTH('LOG VẮNG'!$C$2:$C$1000)=11)*ISNUMBER(SEARCH($A181,'LOG VẮNG'!$D$2:$D$1000))))</f>
        <v/>
      </c>
      <c r="N181" s="40">
        <f>IF($B181="","",SUMPRODUCT(('LOG VẮNG'!$C$2:$C$1000&lt;&gt;"")*(YEAR('LOG VẮNG'!$C$2:$C$1000)=2026)*(MONTH('LOG VẮNG'!$C$2:$C$1000)=12)*ISNUMBER(SEARCH($A181,'LOG VẮNG'!$D$2:$D$1000))))</f>
        <v/>
      </c>
      <c r="O181" s="40">
        <f>IF($B181="","",SUM(C181:N181))</f>
        <v/>
      </c>
    </row>
    <row r="182">
      <c r="A182" s="40" t="inlineStr">
        <is>
          <t>ORI180</t>
        </is>
      </c>
      <c r="B182" s="46">
        <f>IFERROR(INDEX('HỌC VIÊN'!$B$4:$B$203,MATCH($A182,'HỌC VIÊN'!$A$4:$A$203,0)),"")</f>
        <v/>
      </c>
      <c r="C182" s="40">
        <f>IF($B182="","",SUMPRODUCT(('LOG VẮNG'!$C$2:$C$1000&lt;&gt;"")*(YEAR('LOG VẮNG'!$C$2:$C$1000)=2026)*(MONTH('LOG VẮNG'!$C$2:$C$1000)=1)*ISNUMBER(SEARCH($A182,'LOG VẮNG'!$D$2:$D$1000))))</f>
        <v/>
      </c>
      <c r="D182" s="40">
        <f>IF($B182="","",SUMPRODUCT(('LOG VẮNG'!$C$2:$C$1000&lt;&gt;"")*(YEAR('LOG VẮNG'!$C$2:$C$1000)=2026)*(MONTH('LOG VẮNG'!$C$2:$C$1000)=2)*ISNUMBER(SEARCH($A182,'LOG VẮNG'!$D$2:$D$1000))))</f>
        <v/>
      </c>
      <c r="E182" s="40">
        <f>IF($B182="","",SUMPRODUCT(('LOG VẮNG'!$C$2:$C$1000&lt;&gt;"")*(YEAR('LOG VẮNG'!$C$2:$C$1000)=2026)*(MONTH('LOG VẮNG'!$C$2:$C$1000)=3)*ISNUMBER(SEARCH($A182,'LOG VẮNG'!$D$2:$D$1000))))</f>
        <v/>
      </c>
      <c r="F182" s="40">
        <f>IF($B182="","",SUMPRODUCT(('LOG VẮNG'!$C$2:$C$1000&lt;&gt;"")*(YEAR('LOG VẮNG'!$C$2:$C$1000)=2026)*(MONTH('LOG VẮNG'!$C$2:$C$1000)=4)*ISNUMBER(SEARCH($A182,'LOG VẮNG'!$D$2:$D$1000))))</f>
        <v/>
      </c>
      <c r="G182" s="40">
        <f>IF($B182="","",SUMPRODUCT(('LOG VẮNG'!$C$2:$C$1000&lt;&gt;"")*(YEAR('LOG VẮNG'!$C$2:$C$1000)=2026)*(MONTH('LOG VẮNG'!$C$2:$C$1000)=5)*ISNUMBER(SEARCH($A182,'LOG VẮNG'!$D$2:$D$1000))))</f>
        <v/>
      </c>
      <c r="H182" s="40">
        <f>IF($B182="","",SUMPRODUCT(('LOG VẮNG'!$C$2:$C$1000&lt;&gt;"")*(YEAR('LOG VẮNG'!$C$2:$C$1000)=2026)*(MONTH('LOG VẮNG'!$C$2:$C$1000)=6)*ISNUMBER(SEARCH($A182,'LOG VẮNG'!$D$2:$D$1000))))</f>
        <v/>
      </c>
      <c r="I182" s="40">
        <f>IF($B182="","",SUMPRODUCT(('LOG VẮNG'!$C$2:$C$1000&lt;&gt;"")*(YEAR('LOG VẮNG'!$C$2:$C$1000)=2026)*(MONTH('LOG VẮNG'!$C$2:$C$1000)=7)*ISNUMBER(SEARCH($A182,'LOG VẮNG'!$D$2:$D$1000))))</f>
        <v/>
      </c>
      <c r="J182" s="40">
        <f>IF($B182="","",SUMPRODUCT(('LOG VẮNG'!$C$2:$C$1000&lt;&gt;"")*(YEAR('LOG VẮNG'!$C$2:$C$1000)=2026)*(MONTH('LOG VẮNG'!$C$2:$C$1000)=8)*ISNUMBER(SEARCH($A182,'LOG VẮNG'!$D$2:$D$1000))))</f>
        <v/>
      </c>
      <c r="K182" s="40">
        <f>IF($B182="","",SUMPRODUCT(('LOG VẮNG'!$C$2:$C$1000&lt;&gt;"")*(YEAR('LOG VẮNG'!$C$2:$C$1000)=2026)*(MONTH('LOG VẮNG'!$C$2:$C$1000)=9)*ISNUMBER(SEARCH($A182,'LOG VẮNG'!$D$2:$D$1000))))</f>
        <v/>
      </c>
      <c r="L182" s="40">
        <f>IF($B182="","",SUMPRODUCT(('LOG VẮNG'!$C$2:$C$1000&lt;&gt;"")*(YEAR('LOG VẮNG'!$C$2:$C$1000)=2026)*(MONTH('LOG VẮNG'!$C$2:$C$1000)=10)*ISNUMBER(SEARCH($A182,'LOG VẮNG'!$D$2:$D$1000))))</f>
        <v/>
      </c>
      <c r="M182" s="40">
        <f>IF($B182="","",SUMPRODUCT(('LOG VẮNG'!$C$2:$C$1000&lt;&gt;"")*(YEAR('LOG VẮNG'!$C$2:$C$1000)=2026)*(MONTH('LOG VẮNG'!$C$2:$C$1000)=11)*ISNUMBER(SEARCH($A182,'LOG VẮNG'!$D$2:$D$1000))))</f>
        <v/>
      </c>
      <c r="N182" s="40">
        <f>IF($B182="","",SUMPRODUCT(('LOG VẮNG'!$C$2:$C$1000&lt;&gt;"")*(YEAR('LOG VẮNG'!$C$2:$C$1000)=2026)*(MONTH('LOG VẮNG'!$C$2:$C$1000)=12)*ISNUMBER(SEARCH($A182,'LOG VẮNG'!$D$2:$D$1000))))</f>
        <v/>
      </c>
      <c r="O182" s="40">
        <f>IF($B182="","",SUM(C182:N182))</f>
        <v/>
      </c>
    </row>
    <row r="183">
      <c r="A183" s="40" t="inlineStr">
        <is>
          <t>ORI181</t>
        </is>
      </c>
      <c r="B183" s="46">
        <f>IFERROR(INDEX('HỌC VIÊN'!$B$4:$B$203,MATCH($A183,'HỌC VIÊN'!$A$4:$A$203,0)),"")</f>
        <v/>
      </c>
      <c r="C183" s="40">
        <f>IF($B183="","",SUMPRODUCT(('LOG VẮNG'!$C$2:$C$1000&lt;&gt;"")*(YEAR('LOG VẮNG'!$C$2:$C$1000)=2026)*(MONTH('LOG VẮNG'!$C$2:$C$1000)=1)*ISNUMBER(SEARCH($A183,'LOG VẮNG'!$D$2:$D$1000))))</f>
        <v/>
      </c>
      <c r="D183" s="40">
        <f>IF($B183="","",SUMPRODUCT(('LOG VẮNG'!$C$2:$C$1000&lt;&gt;"")*(YEAR('LOG VẮNG'!$C$2:$C$1000)=2026)*(MONTH('LOG VẮNG'!$C$2:$C$1000)=2)*ISNUMBER(SEARCH($A183,'LOG VẮNG'!$D$2:$D$1000))))</f>
        <v/>
      </c>
      <c r="E183" s="40">
        <f>IF($B183="","",SUMPRODUCT(('LOG VẮNG'!$C$2:$C$1000&lt;&gt;"")*(YEAR('LOG VẮNG'!$C$2:$C$1000)=2026)*(MONTH('LOG VẮNG'!$C$2:$C$1000)=3)*ISNUMBER(SEARCH($A183,'LOG VẮNG'!$D$2:$D$1000))))</f>
        <v/>
      </c>
      <c r="F183" s="40">
        <f>IF($B183="","",SUMPRODUCT(('LOG VẮNG'!$C$2:$C$1000&lt;&gt;"")*(YEAR('LOG VẮNG'!$C$2:$C$1000)=2026)*(MONTH('LOG VẮNG'!$C$2:$C$1000)=4)*ISNUMBER(SEARCH($A183,'LOG VẮNG'!$D$2:$D$1000))))</f>
        <v/>
      </c>
      <c r="G183" s="40">
        <f>IF($B183="","",SUMPRODUCT(('LOG VẮNG'!$C$2:$C$1000&lt;&gt;"")*(YEAR('LOG VẮNG'!$C$2:$C$1000)=2026)*(MONTH('LOG VẮNG'!$C$2:$C$1000)=5)*ISNUMBER(SEARCH($A183,'LOG VẮNG'!$D$2:$D$1000))))</f>
        <v/>
      </c>
      <c r="H183" s="40">
        <f>IF($B183="","",SUMPRODUCT(('LOG VẮNG'!$C$2:$C$1000&lt;&gt;"")*(YEAR('LOG VẮNG'!$C$2:$C$1000)=2026)*(MONTH('LOG VẮNG'!$C$2:$C$1000)=6)*ISNUMBER(SEARCH($A183,'LOG VẮNG'!$D$2:$D$1000))))</f>
        <v/>
      </c>
      <c r="I183" s="40">
        <f>IF($B183="","",SUMPRODUCT(('LOG VẮNG'!$C$2:$C$1000&lt;&gt;"")*(YEAR('LOG VẮNG'!$C$2:$C$1000)=2026)*(MONTH('LOG VẮNG'!$C$2:$C$1000)=7)*ISNUMBER(SEARCH($A183,'LOG VẮNG'!$D$2:$D$1000))))</f>
        <v/>
      </c>
      <c r="J183" s="40">
        <f>IF($B183="","",SUMPRODUCT(('LOG VẮNG'!$C$2:$C$1000&lt;&gt;"")*(YEAR('LOG VẮNG'!$C$2:$C$1000)=2026)*(MONTH('LOG VẮNG'!$C$2:$C$1000)=8)*ISNUMBER(SEARCH($A183,'LOG VẮNG'!$D$2:$D$1000))))</f>
        <v/>
      </c>
      <c r="K183" s="40">
        <f>IF($B183="","",SUMPRODUCT(('LOG VẮNG'!$C$2:$C$1000&lt;&gt;"")*(YEAR('LOG VẮNG'!$C$2:$C$1000)=2026)*(MONTH('LOG VẮNG'!$C$2:$C$1000)=9)*ISNUMBER(SEARCH($A183,'LOG VẮNG'!$D$2:$D$1000))))</f>
        <v/>
      </c>
      <c r="L183" s="40">
        <f>IF($B183="","",SUMPRODUCT(('LOG VẮNG'!$C$2:$C$1000&lt;&gt;"")*(YEAR('LOG VẮNG'!$C$2:$C$1000)=2026)*(MONTH('LOG VẮNG'!$C$2:$C$1000)=10)*ISNUMBER(SEARCH($A183,'LOG VẮNG'!$D$2:$D$1000))))</f>
        <v/>
      </c>
      <c r="M183" s="40">
        <f>IF($B183="","",SUMPRODUCT(('LOG VẮNG'!$C$2:$C$1000&lt;&gt;"")*(YEAR('LOG VẮNG'!$C$2:$C$1000)=2026)*(MONTH('LOG VẮNG'!$C$2:$C$1000)=11)*ISNUMBER(SEARCH($A183,'LOG VẮNG'!$D$2:$D$1000))))</f>
        <v/>
      </c>
      <c r="N183" s="40">
        <f>IF($B183="","",SUMPRODUCT(('LOG VẮNG'!$C$2:$C$1000&lt;&gt;"")*(YEAR('LOG VẮNG'!$C$2:$C$1000)=2026)*(MONTH('LOG VẮNG'!$C$2:$C$1000)=12)*ISNUMBER(SEARCH($A183,'LOG VẮNG'!$D$2:$D$1000))))</f>
        <v/>
      </c>
      <c r="O183" s="40">
        <f>IF($B183="","",SUM(C183:N183))</f>
        <v/>
      </c>
    </row>
    <row r="184">
      <c r="A184" s="40" t="inlineStr">
        <is>
          <t>ORI182</t>
        </is>
      </c>
      <c r="B184" s="46">
        <f>IFERROR(INDEX('HỌC VIÊN'!$B$4:$B$203,MATCH($A184,'HỌC VIÊN'!$A$4:$A$203,0)),"")</f>
        <v/>
      </c>
      <c r="C184" s="40">
        <f>IF($B184="","",SUMPRODUCT(('LOG VẮNG'!$C$2:$C$1000&lt;&gt;"")*(YEAR('LOG VẮNG'!$C$2:$C$1000)=2026)*(MONTH('LOG VẮNG'!$C$2:$C$1000)=1)*ISNUMBER(SEARCH($A184,'LOG VẮNG'!$D$2:$D$1000))))</f>
        <v/>
      </c>
      <c r="D184" s="40">
        <f>IF($B184="","",SUMPRODUCT(('LOG VẮNG'!$C$2:$C$1000&lt;&gt;"")*(YEAR('LOG VẮNG'!$C$2:$C$1000)=2026)*(MONTH('LOG VẮNG'!$C$2:$C$1000)=2)*ISNUMBER(SEARCH($A184,'LOG VẮNG'!$D$2:$D$1000))))</f>
        <v/>
      </c>
      <c r="E184" s="40">
        <f>IF($B184="","",SUMPRODUCT(('LOG VẮNG'!$C$2:$C$1000&lt;&gt;"")*(YEAR('LOG VẮNG'!$C$2:$C$1000)=2026)*(MONTH('LOG VẮNG'!$C$2:$C$1000)=3)*ISNUMBER(SEARCH($A184,'LOG VẮNG'!$D$2:$D$1000))))</f>
        <v/>
      </c>
      <c r="F184" s="40">
        <f>IF($B184="","",SUMPRODUCT(('LOG VẮNG'!$C$2:$C$1000&lt;&gt;"")*(YEAR('LOG VẮNG'!$C$2:$C$1000)=2026)*(MONTH('LOG VẮNG'!$C$2:$C$1000)=4)*ISNUMBER(SEARCH($A184,'LOG VẮNG'!$D$2:$D$1000))))</f>
        <v/>
      </c>
      <c r="G184" s="40">
        <f>IF($B184="","",SUMPRODUCT(('LOG VẮNG'!$C$2:$C$1000&lt;&gt;"")*(YEAR('LOG VẮNG'!$C$2:$C$1000)=2026)*(MONTH('LOG VẮNG'!$C$2:$C$1000)=5)*ISNUMBER(SEARCH($A184,'LOG VẮNG'!$D$2:$D$1000))))</f>
        <v/>
      </c>
      <c r="H184" s="40">
        <f>IF($B184="","",SUMPRODUCT(('LOG VẮNG'!$C$2:$C$1000&lt;&gt;"")*(YEAR('LOG VẮNG'!$C$2:$C$1000)=2026)*(MONTH('LOG VẮNG'!$C$2:$C$1000)=6)*ISNUMBER(SEARCH($A184,'LOG VẮNG'!$D$2:$D$1000))))</f>
        <v/>
      </c>
      <c r="I184" s="40">
        <f>IF($B184="","",SUMPRODUCT(('LOG VẮNG'!$C$2:$C$1000&lt;&gt;"")*(YEAR('LOG VẮNG'!$C$2:$C$1000)=2026)*(MONTH('LOG VẮNG'!$C$2:$C$1000)=7)*ISNUMBER(SEARCH($A184,'LOG VẮNG'!$D$2:$D$1000))))</f>
        <v/>
      </c>
      <c r="J184" s="40">
        <f>IF($B184="","",SUMPRODUCT(('LOG VẮNG'!$C$2:$C$1000&lt;&gt;"")*(YEAR('LOG VẮNG'!$C$2:$C$1000)=2026)*(MONTH('LOG VẮNG'!$C$2:$C$1000)=8)*ISNUMBER(SEARCH($A184,'LOG VẮNG'!$D$2:$D$1000))))</f>
        <v/>
      </c>
      <c r="K184" s="40">
        <f>IF($B184="","",SUMPRODUCT(('LOG VẮNG'!$C$2:$C$1000&lt;&gt;"")*(YEAR('LOG VẮNG'!$C$2:$C$1000)=2026)*(MONTH('LOG VẮNG'!$C$2:$C$1000)=9)*ISNUMBER(SEARCH($A184,'LOG VẮNG'!$D$2:$D$1000))))</f>
        <v/>
      </c>
      <c r="L184" s="40">
        <f>IF($B184="","",SUMPRODUCT(('LOG VẮNG'!$C$2:$C$1000&lt;&gt;"")*(YEAR('LOG VẮNG'!$C$2:$C$1000)=2026)*(MONTH('LOG VẮNG'!$C$2:$C$1000)=10)*ISNUMBER(SEARCH($A184,'LOG VẮNG'!$D$2:$D$1000))))</f>
        <v/>
      </c>
      <c r="M184" s="40">
        <f>IF($B184="","",SUMPRODUCT(('LOG VẮNG'!$C$2:$C$1000&lt;&gt;"")*(YEAR('LOG VẮNG'!$C$2:$C$1000)=2026)*(MONTH('LOG VẮNG'!$C$2:$C$1000)=11)*ISNUMBER(SEARCH($A184,'LOG VẮNG'!$D$2:$D$1000))))</f>
        <v/>
      </c>
      <c r="N184" s="40">
        <f>IF($B184="","",SUMPRODUCT(('LOG VẮNG'!$C$2:$C$1000&lt;&gt;"")*(YEAR('LOG VẮNG'!$C$2:$C$1000)=2026)*(MONTH('LOG VẮNG'!$C$2:$C$1000)=12)*ISNUMBER(SEARCH($A184,'LOG VẮNG'!$D$2:$D$1000))))</f>
        <v/>
      </c>
      <c r="O184" s="40">
        <f>IF($B184="","",SUM(C184:N184))</f>
        <v/>
      </c>
    </row>
    <row r="185">
      <c r="A185" s="40" t="inlineStr">
        <is>
          <t>ORI183</t>
        </is>
      </c>
      <c r="B185" s="46">
        <f>IFERROR(INDEX('HỌC VIÊN'!$B$4:$B$203,MATCH($A185,'HỌC VIÊN'!$A$4:$A$203,0)),"")</f>
        <v/>
      </c>
      <c r="C185" s="40">
        <f>IF($B185="","",SUMPRODUCT(('LOG VẮNG'!$C$2:$C$1000&lt;&gt;"")*(YEAR('LOG VẮNG'!$C$2:$C$1000)=2026)*(MONTH('LOG VẮNG'!$C$2:$C$1000)=1)*ISNUMBER(SEARCH($A185,'LOG VẮNG'!$D$2:$D$1000))))</f>
        <v/>
      </c>
      <c r="D185" s="40">
        <f>IF($B185="","",SUMPRODUCT(('LOG VẮNG'!$C$2:$C$1000&lt;&gt;"")*(YEAR('LOG VẮNG'!$C$2:$C$1000)=2026)*(MONTH('LOG VẮNG'!$C$2:$C$1000)=2)*ISNUMBER(SEARCH($A185,'LOG VẮNG'!$D$2:$D$1000))))</f>
        <v/>
      </c>
      <c r="E185" s="40">
        <f>IF($B185="","",SUMPRODUCT(('LOG VẮNG'!$C$2:$C$1000&lt;&gt;"")*(YEAR('LOG VẮNG'!$C$2:$C$1000)=2026)*(MONTH('LOG VẮNG'!$C$2:$C$1000)=3)*ISNUMBER(SEARCH($A185,'LOG VẮNG'!$D$2:$D$1000))))</f>
        <v/>
      </c>
      <c r="F185" s="40">
        <f>IF($B185="","",SUMPRODUCT(('LOG VẮNG'!$C$2:$C$1000&lt;&gt;"")*(YEAR('LOG VẮNG'!$C$2:$C$1000)=2026)*(MONTH('LOG VẮNG'!$C$2:$C$1000)=4)*ISNUMBER(SEARCH($A185,'LOG VẮNG'!$D$2:$D$1000))))</f>
        <v/>
      </c>
      <c r="G185" s="40">
        <f>IF($B185="","",SUMPRODUCT(('LOG VẮNG'!$C$2:$C$1000&lt;&gt;"")*(YEAR('LOG VẮNG'!$C$2:$C$1000)=2026)*(MONTH('LOG VẮNG'!$C$2:$C$1000)=5)*ISNUMBER(SEARCH($A185,'LOG VẮNG'!$D$2:$D$1000))))</f>
        <v/>
      </c>
      <c r="H185" s="40">
        <f>IF($B185="","",SUMPRODUCT(('LOG VẮNG'!$C$2:$C$1000&lt;&gt;"")*(YEAR('LOG VẮNG'!$C$2:$C$1000)=2026)*(MONTH('LOG VẮNG'!$C$2:$C$1000)=6)*ISNUMBER(SEARCH($A185,'LOG VẮNG'!$D$2:$D$1000))))</f>
        <v/>
      </c>
      <c r="I185" s="40">
        <f>IF($B185="","",SUMPRODUCT(('LOG VẮNG'!$C$2:$C$1000&lt;&gt;"")*(YEAR('LOG VẮNG'!$C$2:$C$1000)=2026)*(MONTH('LOG VẮNG'!$C$2:$C$1000)=7)*ISNUMBER(SEARCH($A185,'LOG VẮNG'!$D$2:$D$1000))))</f>
        <v/>
      </c>
      <c r="J185" s="40">
        <f>IF($B185="","",SUMPRODUCT(('LOG VẮNG'!$C$2:$C$1000&lt;&gt;"")*(YEAR('LOG VẮNG'!$C$2:$C$1000)=2026)*(MONTH('LOG VẮNG'!$C$2:$C$1000)=8)*ISNUMBER(SEARCH($A185,'LOG VẮNG'!$D$2:$D$1000))))</f>
        <v/>
      </c>
      <c r="K185" s="40">
        <f>IF($B185="","",SUMPRODUCT(('LOG VẮNG'!$C$2:$C$1000&lt;&gt;"")*(YEAR('LOG VẮNG'!$C$2:$C$1000)=2026)*(MONTH('LOG VẮNG'!$C$2:$C$1000)=9)*ISNUMBER(SEARCH($A185,'LOG VẮNG'!$D$2:$D$1000))))</f>
        <v/>
      </c>
      <c r="L185" s="40">
        <f>IF($B185="","",SUMPRODUCT(('LOG VẮNG'!$C$2:$C$1000&lt;&gt;"")*(YEAR('LOG VẮNG'!$C$2:$C$1000)=2026)*(MONTH('LOG VẮNG'!$C$2:$C$1000)=10)*ISNUMBER(SEARCH($A185,'LOG VẮNG'!$D$2:$D$1000))))</f>
        <v/>
      </c>
      <c r="M185" s="40">
        <f>IF($B185="","",SUMPRODUCT(('LOG VẮNG'!$C$2:$C$1000&lt;&gt;"")*(YEAR('LOG VẮNG'!$C$2:$C$1000)=2026)*(MONTH('LOG VẮNG'!$C$2:$C$1000)=11)*ISNUMBER(SEARCH($A185,'LOG VẮNG'!$D$2:$D$1000))))</f>
        <v/>
      </c>
      <c r="N185" s="40">
        <f>IF($B185="","",SUMPRODUCT(('LOG VẮNG'!$C$2:$C$1000&lt;&gt;"")*(YEAR('LOG VẮNG'!$C$2:$C$1000)=2026)*(MONTH('LOG VẮNG'!$C$2:$C$1000)=12)*ISNUMBER(SEARCH($A185,'LOG VẮNG'!$D$2:$D$1000))))</f>
        <v/>
      </c>
      <c r="O185" s="40">
        <f>IF($B185="","",SUM(C185:N185))</f>
        <v/>
      </c>
    </row>
    <row r="186">
      <c r="A186" s="40" t="inlineStr">
        <is>
          <t>ORI184</t>
        </is>
      </c>
      <c r="B186" s="46">
        <f>IFERROR(INDEX('HỌC VIÊN'!$B$4:$B$203,MATCH($A186,'HỌC VIÊN'!$A$4:$A$203,0)),"")</f>
        <v/>
      </c>
      <c r="C186" s="40">
        <f>IF($B186="","",SUMPRODUCT(('LOG VẮNG'!$C$2:$C$1000&lt;&gt;"")*(YEAR('LOG VẮNG'!$C$2:$C$1000)=2026)*(MONTH('LOG VẮNG'!$C$2:$C$1000)=1)*ISNUMBER(SEARCH($A186,'LOG VẮNG'!$D$2:$D$1000))))</f>
        <v/>
      </c>
      <c r="D186" s="40">
        <f>IF($B186="","",SUMPRODUCT(('LOG VẮNG'!$C$2:$C$1000&lt;&gt;"")*(YEAR('LOG VẮNG'!$C$2:$C$1000)=2026)*(MONTH('LOG VẮNG'!$C$2:$C$1000)=2)*ISNUMBER(SEARCH($A186,'LOG VẮNG'!$D$2:$D$1000))))</f>
        <v/>
      </c>
      <c r="E186" s="40">
        <f>IF($B186="","",SUMPRODUCT(('LOG VẮNG'!$C$2:$C$1000&lt;&gt;"")*(YEAR('LOG VẮNG'!$C$2:$C$1000)=2026)*(MONTH('LOG VẮNG'!$C$2:$C$1000)=3)*ISNUMBER(SEARCH($A186,'LOG VẮNG'!$D$2:$D$1000))))</f>
        <v/>
      </c>
      <c r="F186" s="40">
        <f>IF($B186="","",SUMPRODUCT(('LOG VẮNG'!$C$2:$C$1000&lt;&gt;"")*(YEAR('LOG VẮNG'!$C$2:$C$1000)=2026)*(MONTH('LOG VẮNG'!$C$2:$C$1000)=4)*ISNUMBER(SEARCH($A186,'LOG VẮNG'!$D$2:$D$1000))))</f>
        <v/>
      </c>
      <c r="G186" s="40">
        <f>IF($B186="","",SUMPRODUCT(('LOG VẮNG'!$C$2:$C$1000&lt;&gt;"")*(YEAR('LOG VẮNG'!$C$2:$C$1000)=2026)*(MONTH('LOG VẮNG'!$C$2:$C$1000)=5)*ISNUMBER(SEARCH($A186,'LOG VẮNG'!$D$2:$D$1000))))</f>
        <v/>
      </c>
      <c r="H186" s="40">
        <f>IF($B186="","",SUMPRODUCT(('LOG VẮNG'!$C$2:$C$1000&lt;&gt;"")*(YEAR('LOG VẮNG'!$C$2:$C$1000)=2026)*(MONTH('LOG VẮNG'!$C$2:$C$1000)=6)*ISNUMBER(SEARCH($A186,'LOG VẮNG'!$D$2:$D$1000))))</f>
        <v/>
      </c>
      <c r="I186" s="40">
        <f>IF($B186="","",SUMPRODUCT(('LOG VẮNG'!$C$2:$C$1000&lt;&gt;"")*(YEAR('LOG VẮNG'!$C$2:$C$1000)=2026)*(MONTH('LOG VẮNG'!$C$2:$C$1000)=7)*ISNUMBER(SEARCH($A186,'LOG VẮNG'!$D$2:$D$1000))))</f>
        <v/>
      </c>
      <c r="J186" s="40">
        <f>IF($B186="","",SUMPRODUCT(('LOG VẮNG'!$C$2:$C$1000&lt;&gt;"")*(YEAR('LOG VẮNG'!$C$2:$C$1000)=2026)*(MONTH('LOG VẮNG'!$C$2:$C$1000)=8)*ISNUMBER(SEARCH($A186,'LOG VẮNG'!$D$2:$D$1000))))</f>
        <v/>
      </c>
      <c r="K186" s="40">
        <f>IF($B186="","",SUMPRODUCT(('LOG VẮNG'!$C$2:$C$1000&lt;&gt;"")*(YEAR('LOG VẮNG'!$C$2:$C$1000)=2026)*(MONTH('LOG VẮNG'!$C$2:$C$1000)=9)*ISNUMBER(SEARCH($A186,'LOG VẮNG'!$D$2:$D$1000))))</f>
        <v/>
      </c>
      <c r="L186" s="40">
        <f>IF($B186="","",SUMPRODUCT(('LOG VẮNG'!$C$2:$C$1000&lt;&gt;"")*(YEAR('LOG VẮNG'!$C$2:$C$1000)=2026)*(MONTH('LOG VẮNG'!$C$2:$C$1000)=10)*ISNUMBER(SEARCH($A186,'LOG VẮNG'!$D$2:$D$1000))))</f>
        <v/>
      </c>
      <c r="M186" s="40">
        <f>IF($B186="","",SUMPRODUCT(('LOG VẮNG'!$C$2:$C$1000&lt;&gt;"")*(YEAR('LOG VẮNG'!$C$2:$C$1000)=2026)*(MONTH('LOG VẮNG'!$C$2:$C$1000)=11)*ISNUMBER(SEARCH($A186,'LOG VẮNG'!$D$2:$D$1000))))</f>
        <v/>
      </c>
      <c r="N186" s="40">
        <f>IF($B186="","",SUMPRODUCT(('LOG VẮNG'!$C$2:$C$1000&lt;&gt;"")*(YEAR('LOG VẮNG'!$C$2:$C$1000)=2026)*(MONTH('LOG VẮNG'!$C$2:$C$1000)=12)*ISNUMBER(SEARCH($A186,'LOG VẮNG'!$D$2:$D$1000))))</f>
        <v/>
      </c>
      <c r="O186" s="40">
        <f>IF($B186="","",SUM(C186:N186))</f>
        <v/>
      </c>
    </row>
    <row r="187">
      <c r="A187" s="40" t="inlineStr">
        <is>
          <t>ORI185</t>
        </is>
      </c>
      <c r="B187" s="46">
        <f>IFERROR(INDEX('HỌC VIÊN'!$B$4:$B$203,MATCH($A187,'HỌC VIÊN'!$A$4:$A$203,0)),"")</f>
        <v/>
      </c>
      <c r="C187" s="40">
        <f>IF($B187="","",SUMPRODUCT(('LOG VẮNG'!$C$2:$C$1000&lt;&gt;"")*(YEAR('LOG VẮNG'!$C$2:$C$1000)=2026)*(MONTH('LOG VẮNG'!$C$2:$C$1000)=1)*ISNUMBER(SEARCH($A187,'LOG VẮNG'!$D$2:$D$1000))))</f>
        <v/>
      </c>
      <c r="D187" s="40">
        <f>IF($B187="","",SUMPRODUCT(('LOG VẮNG'!$C$2:$C$1000&lt;&gt;"")*(YEAR('LOG VẮNG'!$C$2:$C$1000)=2026)*(MONTH('LOG VẮNG'!$C$2:$C$1000)=2)*ISNUMBER(SEARCH($A187,'LOG VẮNG'!$D$2:$D$1000))))</f>
        <v/>
      </c>
      <c r="E187" s="40">
        <f>IF($B187="","",SUMPRODUCT(('LOG VẮNG'!$C$2:$C$1000&lt;&gt;"")*(YEAR('LOG VẮNG'!$C$2:$C$1000)=2026)*(MONTH('LOG VẮNG'!$C$2:$C$1000)=3)*ISNUMBER(SEARCH($A187,'LOG VẮNG'!$D$2:$D$1000))))</f>
        <v/>
      </c>
      <c r="F187" s="40">
        <f>IF($B187="","",SUMPRODUCT(('LOG VẮNG'!$C$2:$C$1000&lt;&gt;"")*(YEAR('LOG VẮNG'!$C$2:$C$1000)=2026)*(MONTH('LOG VẮNG'!$C$2:$C$1000)=4)*ISNUMBER(SEARCH($A187,'LOG VẮNG'!$D$2:$D$1000))))</f>
        <v/>
      </c>
      <c r="G187" s="40">
        <f>IF($B187="","",SUMPRODUCT(('LOG VẮNG'!$C$2:$C$1000&lt;&gt;"")*(YEAR('LOG VẮNG'!$C$2:$C$1000)=2026)*(MONTH('LOG VẮNG'!$C$2:$C$1000)=5)*ISNUMBER(SEARCH($A187,'LOG VẮNG'!$D$2:$D$1000))))</f>
        <v/>
      </c>
      <c r="H187" s="40">
        <f>IF($B187="","",SUMPRODUCT(('LOG VẮNG'!$C$2:$C$1000&lt;&gt;"")*(YEAR('LOG VẮNG'!$C$2:$C$1000)=2026)*(MONTH('LOG VẮNG'!$C$2:$C$1000)=6)*ISNUMBER(SEARCH($A187,'LOG VẮNG'!$D$2:$D$1000))))</f>
        <v/>
      </c>
      <c r="I187" s="40">
        <f>IF($B187="","",SUMPRODUCT(('LOG VẮNG'!$C$2:$C$1000&lt;&gt;"")*(YEAR('LOG VẮNG'!$C$2:$C$1000)=2026)*(MONTH('LOG VẮNG'!$C$2:$C$1000)=7)*ISNUMBER(SEARCH($A187,'LOG VẮNG'!$D$2:$D$1000))))</f>
        <v/>
      </c>
      <c r="J187" s="40">
        <f>IF($B187="","",SUMPRODUCT(('LOG VẮNG'!$C$2:$C$1000&lt;&gt;"")*(YEAR('LOG VẮNG'!$C$2:$C$1000)=2026)*(MONTH('LOG VẮNG'!$C$2:$C$1000)=8)*ISNUMBER(SEARCH($A187,'LOG VẮNG'!$D$2:$D$1000))))</f>
        <v/>
      </c>
      <c r="K187" s="40">
        <f>IF($B187="","",SUMPRODUCT(('LOG VẮNG'!$C$2:$C$1000&lt;&gt;"")*(YEAR('LOG VẮNG'!$C$2:$C$1000)=2026)*(MONTH('LOG VẮNG'!$C$2:$C$1000)=9)*ISNUMBER(SEARCH($A187,'LOG VẮNG'!$D$2:$D$1000))))</f>
        <v/>
      </c>
      <c r="L187" s="40">
        <f>IF($B187="","",SUMPRODUCT(('LOG VẮNG'!$C$2:$C$1000&lt;&gt;"")*(YEAR('LOG VẮNG'!$C$2:$C$1000)=2026)*(MONTH('LOG VẮNG'!$C$2:$C$1000)=10)*ISNUMBER(SEARCH($A187,'LOG VẮNG'!$D$2:$D$1000))))</f>
        <v/>
      </c>
      <c r="M187" s="40">
        <f>IF($B187="","",SUMPRODUCT(('LOG VẮNG'!$C$2:$C$1000&lt;&gt;"")*(YEAR('LOG VẮNG'!$C$2:$C$1000)=2026)*(MONTH('LOG VẮNG'!$C$2:$C$1000)=11)*ISNUMBER(SEARCH($A187,'LOG VẮNG'!$D$2:$D$1000))))</f>
        <v/>
      </c>
      <c r="N187" s="40">
        <f>IF($B187="","",SUMPRODUCT(('LOG VẮNG'!$C$2:$C$1000&lt;&gt;"")*(YEAR('LOG VẮNG'!$C$2:$C$1000)=2026)*(MONTH('LOG VẮNG'!$C$2:$C$1000)=12)*ISNUMBER(SEARCH($A187,'LOG VẮNG'!$D$2:$D$1000))))</f>
        <v/>
      </c>
      <c r="O187" s="40">
        <f>IF($B187="","",SUM(C187:N187))</f>
        <v/>
      </c>
    </row>
    <row r="188">
      <c r="A188" s="40" t="inlineStr">
        <is>
          <t>ORI186</t>
        </is>
      </c>
      <c r="B188" s="46">
        <f>IFERROR(INDEX('HỌC VIÊN'!$B$4:$B$203,MATCH($A188,'HỌC VIÊN'!$A$4:$A$203,0)),"")</f>
        <v/>
      </c>
      <c r="C188" s="40">
        <f>IF($B188="","",SUMPRODUCT(('LOG VẮNG'!$C$2:$C$1000&lt;&gt;"")*(YEAR('LOG VẮNG'!$C$2:$C$1000)=2026)*(MONTH('LOG VẮNG'!$C$2:$C$1000)=1)*ISNUMBER(SEARCH($A188,'LOG VẮNG'!$D$2:$D$1000))))</f>
        <v/>
      </c>
      <c r="D188" s="40">
        <f>IF($B188="","",SUMPRODUCT(('LOG VẮNG'!$C$2:$C$1000&lt;&gt;"")*(YEAR('LOG VẮNG'!$C$2:$C$1000)=2026)*(MONTH('LOG VẮNG'!$C$2:$C$1000)=2)*ISNUMBER(SEARCH($A188,'LOG VẮNG'!$D$2:$D$1000))))</f>
        <v/>
      </c>
      <c r="E188" s="40">
        <f>IF($B188="","",SUMPRODUCT(('LOG VẮNG'!$C$2:$C$1000&lt;&gt;"")*(YEAR('LOG VẮNG'!$C$2:$C$1000)=2026)*(MONTH('LOG VẮNG'!$C$2:$C$1000)=3)*ISNUMBER(SEARCH($A188,'LOG VẮNG'!$D$2:$D$1000))))</f>
        <v/>
      </c>
      <c r="F188" s="40">
        <f>IF($B188="","",SUMPRODUCT(('LOG VẮNG'!$C$2:$C$1000&lt;&gt;"")*(YEAR('LOG VẮNG'!$C$2:$C$1000)=2026)*(MONTH('LOG VẮNG'!$C$2:$C$1000)=4)*ISNUMBER(SEARCH($A188,'LOG VẮNG'!$D$2:$D$1000))))</f>
        <v/>
      </c>
      <c r="G188" s="40">
        <f>IF($B188="","",SUMPRODUCT(('LOG VẮNG'!$C$2:$C$1000&lt;&gt;"")*(YEAR('LOG VẮNG'!$C$2:$C$1000)=2026)*(MONTH('LOG VẮNG'!$C$2:$C$1000)=5)*ISNUMBER(SEARCH($A188,'LOG VẮNG'!$D$2:$D$1000))))</f>
        <v/>
      </c>
      <c r="H188" s="40">
        <f>IF($B188="","",SUMPRODUCT(('LOG VẮNG'!$C$2:$C$1000&lt;&gt;"")*(YEAR('LOG VẮNG'!$C$2:$C$1000)=2026)*(MONTH('LOG VẮNG'!$C$2:$C$1000)=6)*ISNUMBER(SEARCH($A188,'LOG VẮNG'!$D$2:$D$1000))))</f>
        <v/>
      </c>
      <c r="I188" s="40">
        <f>IF($B188="","",SUMPRODUCT(('LOG VẮNG'!$C$2:$C$1000&lt;&gt;"")*(YEAR('LOG VẮNG'!$C$2:$C$1000)=2026)*(MONTH('LOG VẮNG'!$C$2:$C$1000)=7)*ISNUMBER(SEARCH($A188,'LOG VẮNG'!$D$2:$D$1000))))</f>
        <v/>
      </c>
      <c r="J188" s="40">
        <f>IF($B188="","",SUMPRODUCT(('LOG VẮNG'!$C$2:$C$1000&lt;&gt;"")*(YEAR('LOG VẮNG'!$C$2:$C$1000)=2026)*(MONTH('LOG VẮNG'!$C$2:$C$1000)=8)*ISNUMBER(SEARCH($A188,'LOG VẮNG'!$D$2:$D$1000))))</f>
        <v/>
      </c>
      <c r="K188" s="40">
        <f>IF($B188="","",SUMPRODUCT(('LOG VẮNG'!$C$2:$C$1000&lt;&gt;"")*(YEAR('LOG VẮNG'!$C$2:$C$1000)=2026)*(MONTH('LOG VẮNG'!$C$2:$C$1000)=9)*ISNUMBER(SEARCH($A188,'LOG VẮNG'!$D$2:$D$1000))))</f>
        <v/>
      </c>
      <c r="L188" s="40">
        <f>IF($B188="","",SUMPRODUCT(('LOG VẮNG'!$C$2:$C$1000&lt;&gt;"")*(YEAR('LOG VẮNG'!$C$2:$C$1000)=2026)*(MONTH('LOG VẮNG'!$C$2:$C$1000)=10)*ISNUMBER(SEARCH($A188,'LOG VẮNG'!$D$2:$D$1000))))</f>
        <v/>
      </c>
      <c r="M188" s="40">
        <f>IF($B188="","",SUMPRODUCT(('LOG VẮNG'!$C$2:$C$1000&lt;&gt;"")*(YEAR('LOG VẮNG'!$C$2:$C$1000)=2026)*(MONTH('LOG VẮNG'!$C$2:$C$1000)=11)*ISNUMBER(SEARCH($A188,'LOG VẮNG'!$D$2:$D$1000))))</f>
        <v/>
      </c>
      <c r="N188" s="40">
        <f>IF($B188="","",SUMPRODUCT(('LOG VẮNG'!$C$2:$C$1000&lt;&gt;"")*(YEAR('LOG VẮNG'!$C$2:$C$1000)=2026)*(MONTH('LOG VẮNG'!$C$2:$C$1000)=12)*ISNUMBER(SEARCH($A188,'LOG VẮNG'!$D$2:$D$1000))))</f>
        <v/>
      </c>
      <c r="O188" s="40">
        <f>IF($B188="","",SUM(C188:N188))</f>
        <v/>
      </c>
    </row>
    <row r="189">
      <c r="A189" s="40" t="inlineStr">
        <is>
          <t>ORI187</t>
        </is>
      </c>
      <c r="B189" s="46">
        <f>IFERROR(INDEX('HỌC VIÊN'!$B$4:$B$203,MATCH($A189,'HỌC VIÊN'!$A$4:$A$203,0)),"")</f>
        <v/>
      </c>
      <c r="C189" s="40">
        <f>IF($B189="","",SUMPRODUCT(('LOG VẮNG'!$C$2:$C$1000&lt;&gt;"")*(YEAR('LOG VẮNG'!$C$2:$C$1000)=2026)*(MONTH('LOG VẮNG'!$C$2:$C$1000)=1)*ISNUMBER(SEARCH($A189,'LOG VẮNG'!$D$2:$D$1000))))</f>
        <v/>
      </c>
      <c r="D189" s="40">
        <f>IF($B189="","",SUMPRODUCT(('LOG VẮNG'!$C$2:$C$1000&lt;&gt;"")*(YEAR('LOG VẮNG'!$C$2:$C$1000)=2026)*(MONTH('LOG VẮNG'!$C$2:$C$1000)=2)*ISNUMBER(SEARCH($A189,'LOG VẮNG'!$D$2:$D$1000))))</f>
        <v/>
      </c>
      <c r="E189" s="40">
        <f>IF($B189="","",SUMPRODUCT(('LOG VẮNG'!$C$2:$C$1000&lt;&gt;"")*(YEAR('LOG VẮNG'!$C$2:$C$1000)=2026)*(MONTH('LOG VẮNG'!$C$2:$C$1000)=3)*ISNUMBER(SEARCH($A189,'LOG VẮNG'!$D$2:$D$1000))))</f>
        <v/>
      </c>
      <c r="F189" s="40">
        <f>IF($B189="","",SUMPRODUCT(('LOG VẮNG'!$C$2:$C$1000&lt;&gt;"")*(YEAR('LOG VẮNG'!$C$2:$C$1000)=2026)*(MONTH('LOG VẮNG'!$C$2:$C$1000)=4)*ISNUMBER(SEARCH($A189,'LOG VẮNG'!$D$2:$D$1000))))</f>
        <v/>
      </c>
      <c r="G189" s="40">
        <f>IF($B189="","",SUMPRODUCT(('LOG VẮNG'!$C$2:$C$1000&lt;&gt;"")*(YEAR('LOG VẮNG'!$C$2:$C$1000)=2026)*(MONTH('LOG VẮNG'!$C$2:$C$1000)=5)*ISNUMBER(SEARCH($A189,'LOG VẮNG'!$D$2:$D$1000))))</f>
        <v/>
      </c>
      <c r="H189" s="40">
        <f>IF($B189="","",SUMPRODUCT(('LOG VẮNG'!$C$2:$C$1000&lt;&gt;"")*(YEAR('LOG VẮNG'!$C$2:$C$1000)=2026)*(MONTH('LOG VẮNG'!$C$2:$C$1000)=6)*ISNUMBER(SEARCH($A189,'LOG VẮNG'!$D$2:$D$1000))))</f>
        <v/>
      </c>
      <c r="I189" s="40">
        <f>IF($B189="","",SUMPRODUCT(('LOG VẮNG'!$C$2:$C$1000&lt;&gt;"")*(YEAR('LOG VẮNG'!$C$2:$C$1000)=2026)*(MONTH('LOG VẮNG'!$C$2:$C$1000)=7)*ISNUMBER(SEARCH($A189,'LOG VẮNG'!$D$2:$D$1000))))</f>
        <v/>
      </c>
      <c r="J189" s="40">
        <f>IF($B189="","",SUMPRODUCT(('LOG VẮNG'!$C$2:$C$1000&lt;&gt;"")*(YEAR('LOG VẮNG'!$C$2:$C$1000)=2026)*(MONTH('LOG VẮNG'!$C$2:$C$1000)=8)*ISNUMBER(SEARCH($A189,'LOG VẮNG'!$D$2:$D$1000))))</f>
        <v/>
      </c>
      <c r="K189" s="40">
        <f>IF($B189="","",SUMPRODUCT(('LOG VẮNG'!$C$2:$C$1000&lt;&gt;"")*(YEAR('LOG VẮNG'!$C$2:$C$1000)=2026)*(MONTH('LOG VẮNG'!$C$2:$C$1000)=9)*ISNUMBER(SEARCH($A189,'LOG VẮNG'!$D$2:$D$1000))))</f>
        <v/>
      </c>
      <c r="L189" s="40">
        <f>IF($B189="","",SUMPRODUCT(('LOG VẮNG'!$C$2:$C$1000&lt;&gt;"")*(YEAR('LOG VẮNG'!$C$2:$C$1000)=2026)*(MONTH('LOG VẮNG'!$C$2:$C$1000)=10)*ISNUMBER(SEARCH($A189,'LOG VẮNG'!$D$2:$D$1000))))</f>
        <v/>
      </c>
      <c r="M189" s="40">
        <f>IF($B189="","",SUMPRODUCT(('LOG VẮNG'!$C$2:$C$1000&lt;&gt;"")*(YEAR('LOG VẮNG'!$C$2:$C$1000)=2026)*(MONTH('LOG VẮNG'!$C$2:$C$1000)=11)*ISNUMBER(SEARCH($A189,'LOG VẮNG'!$D$2:$D$1000))))</f>
        <v/>
      </c>
      <c r="N189" s="40">
        <f>IF($B189="","",SUMPRODUCT(('LOG VẮNG'!$C$2:$C$1000&lt;&gt;"")*(YEAR('LOG VẮNG'!$C$2:$C$1000)=2026)*(MONTH('LOG VẮNG'!$C$2:$C$1000)=12)*ISNUMBER(SEARCH($A189,'LOG VẮNG'!$D$2:$D$1000))))</f>
        <v/>
      </c>
      <c r="O189" s="40">
        <f>IF($B189="","",SUM(C189:N189))</f>
        <v/>
      </c>
    </row>
    <row r="190">
      <c r="A190" s="40" t="inlineStr">
        <is>
          <t>ORI188</t>
        </is>
      </c>
      <c r="B190" s="46">
        <f>IFERROR(INDEX('HỌC VIÊN'!$B$4:$B$203,MATCH($A190,'HỌC VIÊN'!$A$4:$A$203,0)),"")</f>
        <v/>
      </c>
      <c r="C190" s="40">
        <f>IF($B190="","",SUMPRODUCT(('LOG VẮNG'!$C$2:$C$1000&lt;&gt;"")*(YEAR('LOG VẮNG'!$C$2:$C$1000)=2026)*(MONTH('LOG VẮNG'!$C$2:$C$1000)=1)*ISNUMBER(SEARCH($A190,'LOG VẮNG'!$D$2:$D$1000))))</f>
        <v/>
      </c>
      <c r="D190" s="40">
        <f>IF($B190="","",SUMPRODUCT(('LOG VẮNG'!$C$2:$C$1000&lt;&gt;"")*(YEAR('LOG VẮNG'!$C$2:$C$1000)=2026)*(MONTH('LOG VẮNG'!$C$2:$C$1000)=2)*ISNUMBER(SEARCH($A190,'LOG VẮNG'!$D$2:$D$1000))))</f>
        <v/>
      </c>
      <c r="E190" s="40">
        <f>IF($B190="","",SUMPRODUCT(('LOG VẮNG'!$C$2:$C$1000&lt;&gt;"")*(YEAR('LOG VẮNG'!$C$2:$C$1000)=2026)*(MONTH('LOG VẮNG'!$C$2:$C$1000)=3)*ISNUMBER(SEARCH($A190,'LOG VẮNG'!$D$2:$D$1000))))</f>
        <v/>
      </c>
      <c r="F190" s="40">
        <f>IF($B190="","",SUMPRODUCT(('LOG VẮNG'!$C$2:$C$1000&lt;&gt;"")*(YEAR('LOG VẮNG'!$C$2:$C$1000)=2026)*(MONTH('LOG VẮNG'!$C$2:$C$1000)=4)*ISNUMBER(SEARCH($A190,'LOG VẮNG'!$D$2:$D$1000))))</f>
        <v/>
      </c>
      <c r="G190" s="40">
        <f>IF($B190="","",SUMPRODUCT(('LOG VẮNG'!$C$2:$C$1000&lt;&gt;"")*(YEAR('LOG VẮNG'!$C$2:$C$1000)=2026)*(MONTH('LOG VẮNG'!$C$2:$C$1000)=5)*ISNUMBER(SEARCH($A190,'LOG VẮNG'!$D$2:$D$1000))))</f>
        <v/>
      </c>
      <c r="H190" s="40">
        <f>IF($B190="","",SUMPRODUCT(('LOG VẮNG'!$C$2:$C$1000&lt;&gt;"")*(YEAR('LOG VẮNG'!$C$2:$C$1000)=2026)*(MONTH('LOG VẮNG'!$C$2:$C$1000)=6)*ISNUMBER(SEARCH($A190,'LOG VẮNG'!$D$2:$D$1000))))</f>
        <v/>
      </c>
      <c r="I190" s="40">
        <f>IF($B190="","",SUMPRODUCT(('LOG VẮNG'!$C$2:$C$1000&lt;&gt;"")*(YEAR('LOG VẮNG'!$C$2:$C$1000)=2026)*(MONTH('LOG VẮNG'!$C$2:$C$1000)=7)*ISNUMBER(SEARCH($A190,'LOG VẮNG'!$D$2:$D$1000))))</f>
        <v/>
      </c>
      <c r="J190" s="40">
        <f>IF($B190="","",SUMPRODUCT(('LOG VẮNG'!$C$2:$C$1000&lt;&gt;"")*(YEAR('LOG VẮNG'!$C$2:$C$1000)=2026)*(MONTH('LOG VẮNG'!$C$2:$C$1000)=8)*ISNUMBER(SEARCH($A190,'LOG VẮNG'!$D$2:$D$1000))))</f>
        <v/>
      </c>
      <c r="K190" s="40">
        <f>IF($B190="","",SUMPRODUCT(('LOG VẮNG'!$C$2:$C$1000&lt;&gt;"")*(YEAR('LOG VẮNG'!$C$2:$C$1000)=2026)*(MONTH('LOG VẮNG'!$C$2:$C$1000)=9)*ISNUMBER(SEARCH($A190,'LOG VẮNG'!$D$2:$D$1000))))</f>
        <v/>
      </c>
      <c r="L190" s="40">
        <f>IF($B190="","",SUMPRODUCT(('LOG VẮNG'!$C$2:$C$1000&lt;&gt;"")*(YEAR('LOG VẮNG'!$C$2:$C$1000)=2026)*(MONTH('LOG VẮNG'!$C$2:$C$1000)=10)*ISNUMBER(SEARCH($A190,'LOG VẮNG'!$D$2:$D$1000))))</f>
        <v/>
      </c>
      <c r="M190" s="40">
        <f>IF($B190="","",SUMPRODUCT(('LOG VẮNG'!$C$2:$C$1000&lt;&gt;"")*(YEAR('LOG VẮNG'!$C$2:$C$1000)=2026)*(MONTH('LOG VẮNG'!$C$2:$C$1000)=11)*ISNUMBER(SEARCH($A190,'LOG VẮNG'!$D$2:$D$1000))))</f>
        <v/>
      </c>
      <c r="N190" s="40">
        <f>IF($B190="","",SUMPRODUCT(('LOG VẮNG'!$C$2:$C$1000&lt;&gt;"")*(YEAR('LOG VẮNG'!$C$2:$C$1000)=2026)*(MONTH('LOG VẮNG'!$C$2:$C$1000)=12)*ISNUMBER(SEARCH($A190,'LOG VẮNG'!$D$2:$D$1000))))</f>
        <v/>
      </c>
      <c r="O190" s="40">
        <f>IF($B190="","",SUM(C190:N190))</f>
        <v/>
      </c>
    </row>
    <row r="191">
      <c r="A191" s="40" t="inlineStr">
        <is>
          <t>ORI189</t>
        </is>
      </c>
      <c r="B191" s="46">
        <f>IFERROR(INDEX('HỌC VIÊN'!$B$4:$B$203,MATCH($A191,'HỌC VIÊN'!$A$4:$A$203,0)),"")</f>
        <v/>
      </c>
      <c r="C191" s="40">
        <f>IF($B191="","",SUMPRODUCT(('LOG VẮNG'!$C$2:$C$1000&lt;&gt;"")*(YEAR('LOG VẮNG'!$C$2:$C$1000)=2026)*(MONTH('LOG VẮNG'!$C$2:$C$1000)=1)*ISNUMBER(SEARCH($A191,'LOG VẮNG'!$D$2:$D$1000))))</f>
        <v/>
      </c>
      <c r="D191" s="40">
        <f>IF($B191="","",SUMPRODUCT(('LOG VẮNG'!$C$2:$C$1000&lt;&gt;"")*(YEAR('LOG VẮNG'!$C$2:$C$1000)=2026)*(MONTH('LOG VẮNG'!$C$2:$C$1000)=2)*ISNUMBER(SEARCH($A191,'LOG VẮNG'!$D$2:$D$1000))))</f>
        <v/>
      </c>
      <c r="E191" s="40">
        <f>IF($B191="","",SUMPRODUCT(('LOG VẮNG'!$C$2:$C$1000&lt;&gt;"")*(YEAR('LOG VẮNG'!$C$2:$C$1000)=2026)*(MONTH('LOG VẮNG'!$C$2:$C$1000)=3)*ISNUMBER(SEARCH($A191,'LOG VẮNG'!$D$2:$D$1000))))</f>
        <v/>
      </c>
      <c r="F191" s="40">
        <f>IF($B191="","",SUMPRODUCT(('LOG VẮNG'!$C$2:$C$1000&lt;&gt;"")*(YEAR('LOG VẮNG'!$C$2:$C$1000)=2026)*(MONTH('LOG VẮNG'!$C$2:$C$1000)=4)*ISNUMBER(SEARCH($A191,'LOG VẮNG'!$D$2:$D$1000))))</f>
        <v/>
      </c>
      <c r="G191" s="40">
        <f>IF($B191="","",SUMPRODUCT(('LOG VẮNG'!$C$2:$C$1000&lt;&gt;"")*(YEAR('LOG VẮNG'!$C$2:$C$1000)=2026)*(MONTH('LOG VẮNG'!$C$2:$C$1000)=5)*ISNUMBER(SEARCH($A191,'LOG VẮNG'!$D$2:$D$1000))))</f>
        <v/>
      </c>
      <c r="H191" s="40">
        <f>IF($B191="","",SUMPRODUCT(('LOG VẮNG'!$C$2:$C$1000&lt;&gt;"")*(YEAR('LOG VẮNG'!$C$2:$C$1000)=2026)*(MONTH('LOG VẮNG'!$C$2:$C$1000)=6)*ISNUMBER(SEARCH($A191,'LOG VẮNG'!$D$2:$D$1000))))</f>
        <v/>
      </c>
      <c r="I191" s="40">
        <f>IF($B191="","",SUMPRODUCT(('LOG VẮNG'!$C$2:$C$1000&lt;&gt;"")*(YEAR('LOG VẮNG'!$C$2:$C$1000)=2026)*(MONTH('LOG VẮNG'!$C$2:$C$1000)=7)*ISNUMBER(SEARCH($A191,'LOG VẮNG'!$D$2:$D$1000))))</f>
        <v/>
      </c>
      <c r="J191" s="40">
        <f>IF($B191="","",SUMPRODUCT(('LOG VẮNG'!$C$2:$C$1000&lt;&gt;"")*(YEAR('LOG VẮNG'!$C$2:$C$1000)=2026)*(MONTH('LOG VẮNG'!$C$2:$C$1000)=8)*ISNUMBER(SEARCH($A191,'LOG VẮNG'!$D$2:$D$1000))))</f>
        <v/>
      </c>
      <c r="K191" s="40">
        <f>IF($B191="","",SUMPRODUCT(('LOG VẮNG'!$C$2:$C$1000&lt;&gt;"")*(YEAR('LOG VẮNG'!$C$2:$C$1000)=2026)*(MONTH('LOG VẮNG'!$C$2:$C$1000)=9)*ISNUMBER(SEARCH($A191,'LOG VẮNG'!$D$2:$D$1000))))</f>
        <v/>
      </c>
      <c r="L191" s="40">
        <f>IF($B191="","",SUMPRODUCT(('LOG VẮNG'!$C$2:$C$1000&lt;&gt;"")*(YEAR('LOG VẮNG'!$C$2:$C$1000)=2026)*(MONTH('LOG VẮNG'!$C$2:$C$1000)=10)*ISNUMBER(SEARCH($A191,'LOG VẮNG'!$D$2:$D$1000))))</f>
        <v/>
      </c>
      <c r="M191" s="40">
        <f>IF($B191="","",SUMPRODUCT(('LOG VẮNG'!$C$2:$C$1000&lt;&gt;"")*(YEAR('LOG VẮNG'!$C$2:$C$1000)=2026)*(MONTH('LOG VẮNG'!$C$2:$C$1000)=11)*ISNUMBER(SEARCH($A191,'LOG VẮNG'!$D$2:$D$1000))))</f>
        <v/>
      </c>
      <c r="N191" s="40">
        <f>IF($B191="","",SUMPRODUCT(('LOG VẮNG'!$C$2:$C$1000&lt;&gt;"")*(YEAR('LOG VẮNG'!$C$2:$C$1000)=2026)*(MONTH('LOG VẮNG'!$C$2:$C$1000)=12)*ISNUMBER(SEARCH($A191,'LOG VẮNG'!$D$2:$D$1000))))</f>
        <v/>
      </c>
      <c r="O191" s="40">
        <f>IF($B191="","",SUM(C191:N191))</f>
        <v/>
      </c>
    </row>
    <row r="192">
      <c r="A192" s="40" t="inlineStr">
        <is>
          <t>ORI190</t>
        </is>
      </c>
      <c r="B192" s="46">
        <f>IFERROR(INDEX('HỌC VIÊN'!$B$4:$B$203,MATCH($A192,'HỌC VIÊN'!$A$4:$A$203,0)),"")</f>
        <v/>
      </c>
      <c r="C192" s="40">
        <f>IF($B192="","",SUMPRODUCT(('LOG VẮNG'!$C$2:$C$1000&lt;&gt;"")*(YEAR('LOG VẮNG'!$C$2:$C$1000)=2026)*(MONTH('LOG VẮNG'!$C$2:$C$1000)=1)*ISNUMBER(SEARCH($A192,'LOG VẮNG'!$D$2:$D$1000))))</f>
        <v/>
      </c>
      <c r="D192" s="40">
        <f>IF($B192="","",SUMPRODUCT(('LOG VẮNG'!$C$2:$C$1000&lt;&gt;"")*(YEAR('LOG VẮNG'!$C$2:$C$1000)=2026)*(MONTH('LOG VẮNG'!$C$2:$C$1000)=2)*ISNUMBER(SEARCH($A192,'LOG VẮNG'!$D$2:$D$1000))))</f>
        <v/>
      </c>
      <c r="E192" s="40">
        <f>IF($B192="","",SUMPRODUCT(('LOG VẮNG'!$C$2:$C$1000&lt;&gt;"")*(YEAR('LOG VẮNG'!$C$2:$C$1000)=2026)*(MONTH('LOG VẮNG'!$C$2:$C$1000)=3)*ISNUMBER(SEARCH($A192,'LOG VẮNG'!$D$2:$D$1000))))</f>
        <v/>
      </c>
      <c r="F192" s="40">
        <f>IF($B192="","",SUMPRODUCT(('LOG VẮNG'!$C$2:$C$1000&lt;&gt;"")*(YEAR('LOG VẮNG'!$C$2:$C$1000)=2026)*(MONTH('LOG VẮNG'!$C$2:$C$1000)=4)*ISNUMBER(SEARCH($A192,'LOG VẮNG'!$D$2:$D$1000))))</f>
        <v/>
      </c>
      <c r="G192" s="40">
        <f>IF($B192="","",SUMPRODUCT(('LOG VẮNG'!$C$2:$C$1000&lt;&gt;"")*(YEAR('LOG VẮNG'!$C$2:$C$1000)=2026)*(MONTH('LOG VẮNG'!$C$2:$C$1000)=5)*ISNUMBER(SEARCH($A192,'LOG VẮNG'!$D$2:$D$1000))))</f>
        <v/>
      </c>
      <c r="H192" s="40">
        <f>IF($B192="","",SUMPRODUCT(('LOG VẮNG'!$C$2:$C$1000&lt;&gt;"")*(YEAR('LOG VẮNG'!$C$2:$C$1000)=2026)*(MONTH('LOG VẮNG'!$C$2:$C$1000)=6)*ISNUMBER(SEARCH($A192,'LOG VẮNG'!$D$2:$D$1000))))</f>
        <v/>
      </c>
      <c r="I192" s="40">
        <f>IF($B192="","",SUMPRODUCT(('LOG VẮNG'!$C$2:$C$1000&lt;&gt;"")*(YEAR('LOG VẮNG'!$C$2:$C$1000)=2026)*(MONTH('LOG VẮNG'!$C$2:$C$1000)=7)*ISNUMBER(SEARCH($A192,'LOG VẮNG'!$D$2:$D$1000))))</f>
        <v/>
      </c>
      <c r="J192" s="40">
        <f>IF($B192="","",SUMPRODUCT(('LOG VẮNG'!$C$2:$C$1000&lt;&gt;"")*(YEAR('LOG VẮNG'!$C$2:$C$1000)=2026)*(MONTH('LOG VẮNG'!$C$2:$C$1000)=8)*ISNUMBER(SEARCH($A192,'LOG VẮNG'!$D$2:$D$1000))))</f>
        <v/>
      </c>
      <c r="K192" s="40">
        <f>IF($B192="","",SUMPRODUCT(('LOG VẮNG'!$C$2:$C$1000&lt;&gt;"")*(YEAR('LOG VẮNG'!$C$2:$C$1000)=2026)*(MONTH('LOG VẮNG'!$C$2:$C$1000)=9)*ISNUMBER(SEARCH($A192,'LOG VẮNG'!$D$2:$D$1000))))</f>
        <v/>
      </c>
      <c r="L192" s="40">
        <f>IF($B192="","",SUMPRODUCT(('LOG VẮNG'!$C$2:$C$1000&lt;&gt;"")*(YEAR('LOG VẮNG'!$C$2:$C$1000)=2026)*(MONTH('LOG VẮNG'!$C$2:$C$1000)=10)*ISNUMBER(SEARCH($A192,'LOG VẮNG'!$D$2:$D$1000))))</f>
        <v/>
      </c>
      <c r="M192" s="40">
        <f>IF($B192="","",SUMPRODUCT(('LOG VẮNG'!$C$2:$C$1000&lt;&gt;"")*(YEAR('LOG VẮNG'!$C$2:$C$1000)=2026)*(MONTH('LOG VẮNG'!$C$2:$C$1000)=11)*ISNUMBER(SEARCH($A192,'LOG VẮNG'!$D$2:$D$1000))))</f>
        <v/>
      </c>
      <c r="N192" s="40">
        <f>IF($B192="","",SUMPRODUCT(('LOG VẮNG'!$C$2:$C$1000&lt;&gt;"")*(YEAR('LOG VẮNG'!$C$2:$C$1000)=2026)*(MONTH('LOG VẮNG'!$C$2:$C$1000)=12)*ISNUMBER(SEARCH($A192,'LOG VẮNG'!$D$2:$D$1000))))</f>
        <v/>
      </c>
      <c r="O192" s="40">
        <f>IF($B192="","",SUM(C192:N192))</f>
        <v/>
      </c>
    </row>
    <row r="193">
      <c r="A193" s="40" t="inlineStr">
        <is>
          <t>ORI191</t>
        </is>
      </c>
      <c r="B193" s="46">
        <f>IFERROR(INDEX('HỌC VIÊN'!$B$4:$B$203,MATCH($A193,'HỌC VIÊN'!$A$4:$A$203,0)),"")</f>
        <v/>
      </c>
      <c r="C193" s="40">
        <f>IF($B193="","",SUMPRODUCT(('LOG VẮNG'!$C$2:$C$1000&lt;&gt;"")*(YEAR('LOG VẮNG'!$C$2:$C$1000)=2026)*(MONTH('LOG VẮNG'!$C$2:$C$1000)=1)*ISNUMBER(SEARCH($A193,'LOG VẮNG'!$D$2:$D$1000))))</f>
        <v/>
      </c>
      <c r="D193" s="40">
        <f>IF($B193="","",SUMPRODUCT(('LOG VẮNG'!$C$2:$C$1000&lt;&gt;"")*(YEAR('LOG VẮNG'!$C$2:$C$1000)=2026)*(MONTH('LOG VẮNG'!$C$2:$C$1000)=2)*ISNUMBER(SEARCH($A193,'LOG VẮNG'!$D$2:$D$1000))))</f>
        <v/>
      </c>
      <c r="E193" s="40">
        <f>IF($B193="","",SUMPRODUCT(('LOG VẮNG'!$C$2:$C$1000&lt;&gt;"")*(YEAR('LOG VẮNG'!$C$2:$C$1000)=2026)*(MONTH('LOG VẮNG'!$C$2:$C$1000)=3)*ISNUMBER(SEARCH($A193,'LOG VẮNG'!$D$2:$D$1000))))</f>
        <v/>
      </c>
      <c r="F193" s="40">
        <f>IF($B193="","",SUMPRODUCT(('LOG VẮNG'!$C$2:$C$1000&lt;&gt;"")*(YEAR('LOG VẮNG'!$C$2:$C$1000)=2026)*(MONTH('LOG VẮNG'!$C$2:$C$1000)=4)*ISNUMBER(SEARCH($A193,'LOG VẮNG'!$D$2:$D$1000))))</f>
        <v/>
      </c>
      <c r="G193" s="40">
        <f>IF($B193="","",SUMPRODUCT(('LOG VẮNG'!$C$2:$C$1000&lt;&gt;"")*(YEAR('LOG VẮNG'!$C$2:$C$1000)=2026)*(MONTH('LOG VẮNG'!$C$2:$C$1000)=5)*ISNUMBER(SEARCH($A193,'LOG VẮNG'!$D$2:$D$1000))))</f>
        <v/>
      </c>
      <c r="H193" s="40">
        <f>IF($B193="","",SUMPRODUCT(('LOG VẮNG'!$C$2:$C$1000&lt;&gt;"")*(YEAR('LOG VẮNG'!$C$2:$C$1000)=2026)*(MONTH('LOG VẮNG'!$C$2:$C$1000)=6)*ISNUMBER(SEARCH($A193,'LOG VẮNG'!$D$2:$D$1000))))</f>
        <v/>
      </c>
      <c r="I193" s="40">
        <f>IF($B193="","",SUMPRODUCT(('LOG VẮNG'!$C$2:$C$1000&lt;&gt;"")*(YEAR('LOG VẮNG'!$C$2:$C$1000)=2026)*(MONTH('LOG VẮNG'!$C$2:$C$1000)=7)*ISNUMBER(SEARCH($A193,'LOG VẮNG'!$D$2:$D$1000))))</f>
        <v/>
      </c>
      <c r="J193" s="40">
        <f>IF($B193="","",SUMPRODUCT(('LOG VẮNG'!$C$2:$C$1000&lt;&gt;"")*(YEAR('LOG VẮNG'!$C$2:$C$1000)=2026)*(MONTH('LOG VẮNG'!$C$2:$C$1000)=8)*ISNUMBER(SEARCH($A193,'LOG VẮNG'!$D$2:$D$1000))))</f>
        <v/>
      </c>
      <c r="K193" s="40">
        <f>IF($B193="","",SUMPRODUCT(('LOG VẮNG'!$C$2:$C$1000&lt;&gt;"")*(YEAR('LOG VẮNG'!$C$2:$C$1000)=2026)*(MONTH('LOG VẮNG'!$C$2:$C$1000)=9)*ISNUMBER(SEARCH($A193,'LOG VẮNG'!$D$2:$D$1000))))</f>
        <v/>
      </c>
      <c r="L193" s="40">
        <f>IF($B193="","",SUMPRODUCT(('LOG VẮNG'!$C$2:$C$1000&lt;&gt;"")*(YEAR('LOG VẮNG'!$C$2:$C$1000)=2026)*(MONTH('LOG VẮNG'!$C$2:$C$1000)=10)*ISNUMBER(SEARCH($A193,'LOG VẮNG'!$D$2:$D$1000))))</f>
        <v/>
      </c>
      <c r="M193" s="40">
        <f>IF($B193="","",SUMPRODUCT(('LOG VẮNG'!$C$2:$C$1000&lt;&gt;"")*(YEAR('LOG VẮNG'!$C$2:$C$1000)=2026)*(MONTH('LOG VẮNG'!$C$2:$C$1000)=11)*ISNUMBER(SEARCH($A193,'LOG VẮNG'!$D$2:$D$1000))))</f>
        <v/>
      </c>
      <c r="N193" s="40">
        <f>IF($B193="","",SUMPRODUCT(('LOG VẮNG'!$C$2:$C$1000&lt;&gt;"")*(YEAR('LOG VẮNG'!$C$2:$C$1000)=2026)*(MONTH('LOG VẮNG'!$C$2:$C$1000)=12)*ISNUMBER(SEARCH($A193,'LOG VẮNG'!$D$2:$D$1000))))</f>
        <v/>
      </c>
      <c r="O193" s="40">
        <f>IF($B193="","",SUM(C193:N193))</f>
        <v/>
      </c>
    </row>
    <row r="194">
      <c r="A194" s="40" t="inlineStr">
        <is>
          <t>ORI192</t>
        </is>
      </c>
      <c r="B194" s="46">
        <f>IFERROR(INDEX('HỌC VIÊN'!$B$4:$B$203,MATCH($A194,'HỌC VIÊN'!$A$4:$A$203,0)),"")</f>
        <v/>
      </c>
      <c r="C194" s="40">
        <f>IF($B194="","",SUMPRODUCT(('LOG VẮNG'!$C$2:$C$1000&lt;&gt;"")*(YEAR('LOG VẮNG'!$C$2:$C$1000)=2026)*(MONTH('LOG VẮNG'!$C$2:$C$1000)=1)*ISNUMBER(SEARCH($A194,'LOG VẮNG'!$D$2:$D$1000))))</f>
        <v/>
      </c>
      <c r="D194" s="40">
        <f>IF($B194="","",SUMPRODUCT(('LOG VẮNG'!$C$2:$C$1000&lt;&gt;"")*(YEAR('LOG VẮNG'!$C$2:$C$1000)=2026)*(MONTH('LOG VẮNG'!$C$2:$C$1000)=2)*ISNUMBER(SEARCH($A194,'LOG VẮNG'!$D$2:$D$1000))))</f>
        <v/>
      </c>
      <c r="E194" s="40">
        <f>IF($B194="","",SUMPRODUCT(('LOG VẮNG'!$C$2:$C$1000&lt;&gt;"")*(YEAR('LOG VẮNG'!$C$2:$C$1000)=2026)*(MONTH('LOG VẮNG'!$C$2:$C$1000)=3)*ISNUMBER(SEARCH($A194,'LOG VẮNG'!$D$2:$D$1000))))</f>
        <v/>
      </c>
      <c r="F194" s="40">
        <f>IF($B194="","",SUMPRODUCT(('LOG VẮNG'!$C$2:$C$1000&lt;&gt;"")*(YEAR('LOG VẮNG'!$C$2:$C$1000)=2026)*(MONTH('LOG VẮNG'!$C$2:$C$1000)=4)*ISNUMBER(SEARCH($A194,'LOG VẮNG'!$D$2:$D$1000))))</f>
        <v/>
      </c>
      <c r="G194" s="40">
        <f>IF($B194="","",SUMPRODUCT(('LOG VẮNG'!$C$2:$C$1000&lt;&gt;"")*(YEAR('LOG VẮNG'!$C$2:$C$1000)=2026)*(MONTH('LOG VẮNG'!$C$2:$C$1000)=5)*ISNUMBER(SEARCH($A194,'LOG VẮNG'!$D$2:$D$1000))))</f>
        <v/>
      </c>
      <c r="H194" s="40">
        <f>IF($B194="","",SUMPRODUCT(('LOG VẮNG'!$C$2:$C$1000&lt;&gt;"")*(YEAR('LOG VẮNG'!$C$2:$C$1000)=2026)*(MONTH('LOG VẮNG'!$C$2:$C$1000)=6)*ISNUMBER(SEARCH($A194,'LOG VẮNG'!$D$2:$D$1000))))</f>
        <v/>
      </c>
      <c r="I194" s="40">
        <f>IF($B194="","",SUMPRODUCT(('LOG VẮNG'!$C$2:$C$1000&lt;&gt;"")*(YEAR('LOG VẮNG'!$C$2:$C$1000)=2026)*(MONTH('LOG VẮNG'!$C$2:$C$1000)=7)*ISNUMBER(SEARCH($A194,'LOG VẮNG'!$D$2:$D$1000))))</f>
        <v/>
      </c>
      <c r="J194" s="40">
        <f>IF($B194="","",SUMPRODUCT(('LOG VẮNG'!$C$2:$C$1000&lt;&gt;"")*(YEAR('LOG VẮNG'!$C$2:$C$1000)=2026)*(MONTH('LOG VẮNG'!$C$2:$C$1000)=8)*ISNUMBER(SEARCH($A194,'LOG VẮNG'!$D$2:$D$1000))))</f>
        <v/>
      </c>
      <c r="K194" s="40">
        <f>IF($B194="","",SUMPRODUCT(('LOG VẮNG'!$C$2:$C$1000&lt;&gt;"")*(YEAR('LOG VẮNG'!$C$2:$C$1000)=2026)*(MONTH('LOG VẮNG'!$C$2:$C$1000)=9)*ISNUMBER(SEARCH($A194,'LOG VẮNG'!$D$2:$D$1000))))</f>
        <v/>
      </c>
      <c r="L194" s="40">
        <f>IF($B194="","",SUMPRODUCT(('LOG VẮNG'!$C$2:$C$1000&lt;&gt;"")*(YEAR('LOG VẮNG'!$C$2:$C$1000)=2026)*(MONTH('LOG VẮNG'!$C$2:$C$1000)=10)*ISNUMBER(SEARCH($A194,'LOG VẮNG'!$D$2:$D$1000))))</f>
        <v/>
      </c>
      <c r="M194" s="40">
        <f>IF($B194="","",SUMPRODUCT(('LOG VẮNG'!$C$2:$C$1000&lt;&gt;"")*(YEAR('LOG VẮNG'!$C$2:$C$1000)=2026)*(MONTH('LOG VẮNG'!$C$2:$C$1000)=11)*ISNUMBER(SEARCH($A194,'LOG VẮNG'!$D$2:$D$1000))))</f>
        <v/>
      </c>
      <c r="N194" s="40">
        <f>IF($B194="","",SUMPRODUCT(('LOG VẮNG'!$C$2:$C$1000&lt;&gt;"")*(YEAR('LOG VẮNG'!$C$2:$C$1000)=2026)*(MONTH('LOG VẮNG'!$C$2:$C$1000)=12)*ISNUMBER(SEARCH($A194,'LOG VẮNG'!$D$2:$D$1000))))</f>
        <v/>
      </c>
      <c r="O194" s="40">
        <f>IF($B194="","",SUM(C194:N194))</f>
        <v/>
      </c>
    </row>
    <row r="195">
      <c r="A195" s="40" t="inlineStr">
        <is>
          <t>ORI193</t>
        </is>
      </c>
      <c r="B195" s="46">
        <f>IFERROR(INDEX('HỌC VIÊN'!$B$4:$B$203,MATCH($A195,'HỌC VIÊN'!$A$4:$A$203,0)),"")</f>
        <v/>
      </c>
      <c r="C195" s="40">
        <f>IF($B195="","",SUMPRODUCT(('LOG VẮNG'!$C$2:$C$1000&lt;&gt;"")*(YEAR('LOG VẮNG'!$C$2:$C$1000)=2026)*(MONTH('LOG VẮNG'!$C$2:$C$1000)=1)*ISNUMBER(SEARCH($A195,'LOG VẮNG'!$D$2:$D$1000))))</f>
        <v/>
      </c>
      <c r="D195" s="40">
        <f>IF($B195="","",SUMPRODUCT(('LOG VẮNG'!$C$2:$C$1000&lt;&gt;"")*(YEAR('LOG VẮNG'!$C$2:$C$1000)=2026)*(MONTH('LOG VẮNG'!$C$2:$C$1000)=2)*ISNUMBER(SEARCH($A195,'LOG VẮNG'!$D$2:$D$1000))))</f>
        <v/>
      </c>
      <c r="E195" s="40">
        <f>IF($B195="","",SUMPRODUCT(('LOG VẮNG'!$C$2:$C$1000&lt;&gt;"")*(YEAR('LOG VẮNG'!$C$2:$C$1000)=2026)*(MONTH('LOG VẮNG'!$C$2:$C$1000)=3)*ISNUMBER(SEARCH($A195,'LOG VẮNG'!$D$2:$D$1000))))</f>
        <v/>
      </c>
      <c r="F195" s="40">
        <f>IF($B195="","",SUMPRODUCT(('LOG VẮNG'!$C$2:$C$1000&lt;&gt;"")*(YEAR('LOG VẮNG'!$C$2:$C$1000)=2026)*(MONTH('LOG VẮNG'!$C$2:$C$1000)=4)*ISNUMBER(SEARCH($A195,'LOG VẮNG'!$D$2:$D$1000))))</f>
        <v/>
      </c>
      <c r="G195" s="40">
        <f>IF($B195="","",SUMPRODUCT(('LOG VẮNG'!$C$2:$C$1000&lt;&gt;"")*(YEAR('LOG VẮNG'!$C$2:$C$1000)=2026)*(MONTH('LOG VẮNG'!$C$2:$C$1000)=5)*ISNUMBER(SEARCH($A195,'LOG VẮNG'!$D$2:$D$1000))))</f>
        <v/>
      </c>
      <c r="H195" s="40">
        <f>IF($B195="","",SUMPRODUCT(('LOG VẮNG'!$C$2:$C$1000&lt;&gt;"")*(YEAR('LOG VẮNG'!$C$2:$C$1000)=2026)*(MONTH('LOG VẮNG'!$C$2:$C$1000)=6)*ISNUMBER(SEARCH($A195,'LOG VẮNG'!$D$2:$D$1000))))</f>
        <v/>
      </c>
      <c r="I195" s="40">
        <f>IF($B195="","",SUMPRODUCT(('LOG VẮNG'!$C$2:$C$1000&lt;&gt;"")*(YEAR('LOG VẮNG'!$C$2:$C$1000)=2026)*(MONTH('LOG VẮNG'!$C$2:$C$1000)=7)*ISNUMBER(SEARCH($A195,'LOG VẮNG'!$D$2:$D$1000))))</f>
        <v/>
      </c>
      <c r="J195" s="40">
        <f>IF($B195="","",SUMPRODUCT(('LOG VẮNG'!$C$2:$C$1000&lt;&gt;"")*(YEAR('LOG VẮNG'!$C$2:$C$1000)=2026)*(MONTH('LOG VẮNG'!$C$2:$C$1000)=8)*ISNUMBER(SEARCH($A195,'LOG VẮNG'!$D$2:$D$1000))))</f>
        <v/>
      </c>
      <c r="K195" s="40">
        <f>IF($B195="","",SUMPRODUCT(('LOG VẮNG'!$C$2:$C$1000&lt;&gt;"")*(YEAR('LOG VẮNG'!$C$2:$C$1000)=2026)*(MONTH('LOG VẮNG'!$C$2:$C$1000)=9)*ISNUMBER(SEARCH($A195,'LOG VẮNG'!$D$2:$D$1000))))</f>
        <v/>
      </c>
      <c r="L195" s="40">
        <f>IF($B195="","",SUMPRODUCT(('LOG VẮNG'!$C$2:$C$1000&lt;&gt;"")*(YEAR('LOG VẮNG'!$C$2:$C$1000)=2026)*(MONTH('LOG VẮNG'!$C$2:$C$1000)=10)*ISNUMBER(SEARCH($A195,'LOG VẮNG'!$D$2:$D$1000))))</f>
        <v/>
      </c>
      <c r="M195" s="40">
        <f>IF($B195="","",SUMPRODUCT(('LOG VẮNG'!$C$2:$C$1000&lt;&gt;"")*(YEAR('LOG VẮNG'!$C$2:$C$1000)=2026)*(MONTH('LOG VẮNG'!$C$2:$C$1000)=11)*ISNUMBER(SEARCH($A195,'LOG VẮNG'!$D$2:$D$1000))))</f>
        <v/>
      </c>
      <c r="N195" s="40">
        <f>IF($B195="","",SUMPRODUCT(('LOG VẮNG'!$C$2:$C$1000&lt;&gt;"")*(YEAR('LOG VẮNG'!$C$2:$C$1000)=2026)*(MONTH('LOG VẮNG'!$C$2:$C$1000)=12)*ISNUMBER(SEARCH($A195,'LOG VẮNG'!$D$2:$D$1000))))</f>
        <v/>
      </c>
      <c r="O195" s="40">
        <f>IF($B195="","",SUM(C195:N195))</f>
        <v/>
      </c>
    </row>
    <row r="196">
      <c r="A196" s="40" t="inlineStr">
        <is>
          <t>ORI194</t>
        </is>
      </c>
      <c r="B196" s="46">
        <f>IFERROR(INDEX('HỌC VIÊN'!$B$4:$B$203,MATCH($A196,'HỌC VIÊN'!$A$4:$A$203,0)),"")</f>
        <v/>
      </c>
      <c r="C196" s="40">
        <f>IF($B196="","",SUMPRODUCT(('LOG VẮNG'!$C$2:$C$1000&lt;&gt;"")*(YEAR('LOG VẮNG'!$C$2:$C$1000)=2026)*(MONTH('LOG VẮNG'!$C$2:$C$1000)=1)*ISNUMBER(SEARCH($A196,'LOG VẮNG'!$D$2:$D$1000))))</f>
        <v/>
      </c>
      <c r="D196" s="40">
        <f>IF($B196="","",SUMPRODUCT(('LOG VẮNG'!$C$2:$C$1000&lt;&gt;"")*(YEAR('LOG VẮNG'!$C$2:$C$1000)=2026)*(MONTH('LOG VẮNG'!$C$2:$C$1000)=2)*ISNUMBER(SEARCH($A196,'LOG VẮNG'!$D$2:$D$1000))))</f>
        <v/>
      </c>
      <c r="E196" s="40">
        <f>IF($B196="","",SUMPRODUCT(('LOG VẮNG'!$C$2:$C$1000&lt;&gt;"")*(YEAR('LOG VẮNG'!$C$2:$C$1000)=2026)*(MONTH('LOG VẮNG'!$C$2:$C$1000)=3)*ISNUMBER(SEARCH($A196,'LOG VẮNG'!$D$2:$D$1000))))</f>
        <v/>
      </c>
      <c r="F196" s="40">
        <f>IF($B196="","",SUMPRODUCT(('LOG VẮNG'!$C$2:$C$1000&lt;&gt;"")*(YEAR('LOG VẮNG'!$C$2:$C$1000)=2026)*(MONTH('LOG VẮNG'!$C$2:$C$1000)=4)*ISNUMBER(SEARCH($A196,'LOG VẮNG'!$D$2:$D$1000))))</f>
        <v/>
      </c>
      <c r="G196" s="40">
        <f>IF($B196="","",SUMPRODUCT(('LOG VẮNG'!$C$2:$C$1000&lt;&gt;"")*(YEAR('LOG VẮNG'!$C$2:$C$1000)=2026)*(MONTH('LOG VẮNG'!$C$2:$C$1000)=5)*ISNUMBER(SEARCH($A196,'LOG VẮNG'!$D$2:$D$1000))))</f>
        <v/>
      </c>
      <c r="H196" s="40">
        <f>IF($B196="","",SUMPRODUCT(('LOG VẮNG'!$C$2:$C$1000&lt;&gt;"")*(YEAR('LOG VẮNG'!$C$2:$C$1000)=2026)*(MONTH('LOG VẮNG'!$C$2:$C$1000)=6)*ISNUMBER(SEARCH($A196,'LOG VẮNG'!$D$2:$D$1000))))</f>
        <v/>
      </c>
      <c r="I196" s="40">
        <f>IF($B196="","",SUMPRODUCT(('LOG VẮNG'!$C$2:$C$1000&lt;&gt;"")*(YEAR('LOG VẮNG'!$C$2:$C$1000)=2026)*(MONTH('LOG VẮNG'!$C$2:$C$1000)=7)*ISNUMBER(SEARCH($A196,'LOG VẮNG'!$D$2:$D$1000))))</f>
        <v/>
      </c>
      <c r="J196" s="40">
        <f>IF($B196="","",SUMPRODUCT(('LOG VẮNG'!$C$2:$C$1000&lt;&gt;"")*(YEAR('LOG VẮNG'!$C$2:$C$1000)=2026)*(MONTH('LOG VẮNG'!$C$2:$C$1000)=8)*ISNUMBER(SEARCH($A196,'LOG VẮNG'!$D$2:$D$1000))))</f>
        <v/>
      </c>
      <c r="K196" s="40">
        <f>IF($B196="","",SUMPRODUCT(('LOG VẮNG'!$C$2:$C$1000&lt;&gt;"")*(YEAR('LOG VẮNG'!$C$2:$C$1000)=2026)*(MONTH('LOG VẮNG'!$C$2:$C$1000)=9)*ISNUMBER(SEARCH($A196,'LOG VẮNG'!$D$2:$D$1000))))</f>
        <v/>
      </c>
      <c r="L196" s="40">
        <f>IF($B196="","",SUMPRODUCT(('LOG VẮNG'!$C$2:$C$1000&lt;&gt;"")*(YEAR('LOG VẮNG'!$C$2:$C$1000)=2026)*(MONTH('LOG VẮNG'!$C$2:$C$1000)=10)*ISNUMBER(SEARCH($A196,'LOG VẮNG'!$D$2:$D$1000))))</f>
        <v/>
      </c>
      <c r="M196" s="40">
        <f>IF($B196="","",SUMPRODUCT(('LOG VẮNG'!$C$2:$C$1000&lt;&gt;"")*(YEAR('LOG VẮNG'!$C$2:$C$1000)=2026)*(MONTH('LOG VẮNG'!$C$2:$C$1000)=11)*ISNUMBER(SEARCH($A196,'LOG VẮNG'!$D$2:$D$1000))))</f>
        <v/>
      </c>
      <c r="N196" s="40">
        <f>IF($B196="","",SUMPRODUCT(('LOG VẮNG'!$C$2:$C$1000&lt;&gt;"")*(YEAR('LOG VẮNG'!$C$2:$C$1000)=2026)*(MONTH('LOG VẮNG'!$C$2:$C$1000)=12)*ISNUMBER(SEARCH($A196,'LOG VẮNG'!$D$2:$D$1000))))</f>
        <v/>
      </c>
      <c r="O196" s="40">
        <f>IF($B196="","",SUM(C196:N196))</f>
        <v/>
      </c>
    </row>
    <row r="197">
      <c r="A197" s="40" t="inlineStr">
        <is>
          <t>ORI195</t>
        </is>
      </c>
      <c r="B197" s="46">
        <f>IFERROR(INDEX('HỌC VIÊN'!$B$4:$B$203,MATCH($A197,'HỌC VIÊN'!$A$4:$A$203,0)),"")</f>
        <v/>
      </c>
      <c r="C197" s="40">
        <f>IF($B197="","",SUMPRODUCT(('LOG VẮNG'!$C$2:$C$1000&lt;&gt;"")*(YEAR('LOG VẮNG'!$C$2:$C$1000)=2026)*(MONTH('LOG VẮNG'!$C$2:$C$1000)=1)*ISNUMBER(SEARCH($A197,'LOG VẮNG'!$D$2:$D$1000))))</f>
        <v/>
      </c>
      <c r="D197" s="40">
        <f>IF($B197="","",SUMPRODUCT(('LOG VẮNG'!$C$2:$C$1000&lt;&gt;"")*(YEAR('LOG VẮNG'!$C$2:$C$1000)=2026)*(MONTH('LOG VẮNG'!$C$2:$C$1000)=2)*ISNUMBER(SEARCH($A197,'LOG VẮNG'!$D$2:$D$1000))))</f>
        <v/>
      </c>
      <c r="E197" s="40">
        <f>IF($B197="","",SUMPRODUCT(('LOG VẮNG'!$C$2:$C$1000&lt;&gt;"")*(YEAR('LOG VẮNG'!$C$2:$C$1000)=2026)*(MONTH('LOG VẮNG'!$C$2:$C$1000)=3)*ISNUMBER(SEARCH($A197,'LOG VẮNG'!$D$2:$D$1000))))</f>
        <v/>
      </c>
      <c r="F197" s="40">
        <f>IF($B197="","",SUMPRODUCT(('LOG VẮNG'!$C$2:$C$1000&lt;&gt;"")*(YEAR('LOG VẮNG'!$C$2:$C$1000)=2026)*(MONTH('LOG VẮNG'!$C$2:$C$1000)=4)*ISNUMBER(SEARCH($A197,'LOG VẮNG'!$D$2:$D$1000))))</f>
        <v/>
      </c>
      <c r="G197" s="40">
        <f>IF($B197="","",SUMPRODUCT(('LOG VẮNG'!$C$2:$C$1000&lt;&gt;"")*(YEAR('LOG VẮNG'!$C$2:$C$1000)=2026)*(MONTH('LOG VẮNG'!$C$2:$C$1000)=5)*ISNUMBER(SEARCH($A197,'LOG VẮNG'!$D$2:$D$1000))))</f>
        <v/>
      </c>
      <c r="H197" s="40">
        <f>IF($B197="","",SUMPRODUCT(('LOG VẮNG'!$C$2:$C$1000&lt;&gt;"")*(YEAR('LOG VẮNG'!$C$2:$C$1000)=2026)*(MONTH('LOG VẮNG'!$C$2:$C$1000)=6)*ISNUMBER(SEARCH($A197,'LOG VẮNG'!$D$2:$D$1000))))</f>
        <v/>
      </c>
      <c r="I197" s="40">
        <f>IF($B197="","",SUMPRODUCT(('LOG VẮNG'!$C$2:$C$1000&lt;&gt;"")*(YEAR('LOG VẮNG'!$C$2:$C$1000)=2026)*(MONTH('LOG VẮNG'!$C$2:$C$1000)=7)*ISNUMBER(SEARCH($A197,'LOG VẮNG'!$D$2:$D$1000))))</f>
        <v/>
      </c>
      <c r="J197" s="40">
        <f>IF($B197="","",SUMPRODUCT(('LOG VẮNG'!$C$2:$C$1000&lt;&gt;"")*(YEAR('LOG VẮNG'!$C$2:$C$1000)=2026)*(MONTH('LOG VẮNG'!$C$2:$C$1000)=8)*ISNUMBER(SEARCH($A197,'LOG VẮNG'!$D$2:$D$1000))))</f>
        <v/>
      </c>
      <c r="K197" s="40">
        <f>IF($B197="","",SUMPRODUCT(('LOG VẮNG'!$C$2:$C$1000&lt;&gt;"")*(YEAR('LOG VẮNG'!$C$2:$C$1000)=2026)*(MONTH('LOG VẮNG'!$C$2:$C$1000)=9)*ISNUMBER(SEARCH($A197,'LOG VẮNG'!$D$2:$D$1000))))</f>
        <v/>
      </c>
      <c r="L197" s="40">
        <f>IF($B197="","",SUMPRODUCT(('LOG VẮNG'!$C$2:$C$1000&lt;&gt;"")*(YEAR('LOG VẮNG'!$C$2:$C$1000)=2026)*(MONTH('LOG VẮNG'!$C$2:$C$1000)=10)*ISNUMBER(SEARCH($A197,'LOG VẮNG'!$D$2:$D$1000))))</f>
        <v/>
      </c>
      <c r="M197" s="40">
        <f>IF($B197="","",SUMPRODUCT(('LOG VẮNG'!$C$2:$C$1000&lt;&gt;"")*(YEAR('LOG VẮNG'!$C$2:$C$1000)=2026)*(MONTH('LOG VẮNG'!$C$2:$C$1000)=11)*ISNUMBER(SEARCH($A197,'LOG VẮNG'!$D$2:$D$1000))))</f>
        <v/>
      </c>
      <c r="N197" s="40">
        <f>IF($B197="","",SUMPRODUCT(('LOG VẮNG'!$C$2:$C$1000&lt;&gt;"")*(YEAR('LOG VẮNG'!$C$2:$C$1000)=2026)*(MONTH('LOG VẮNG'!$C$2:$C$1000)=12)*ISNUMBER(SEARCH($A197,'LOG VẮNG'!$D$2:$D$1000))))</f>
        <v/>
      </c>
      <c r="O197" s="40">
        <f>IF($B197="","",SUM(C197:N197))</f>
        <v/>
      </c>
    </row>
    <row r="198">
      <c r="A198" s="40" t="inlineStr">
        <is>
          <t>ORI196</t>
        </is>
      </c>
      <c r="B198" s="46">
        <f>IFERROR(INDEX('HỌC VIÊN'!$B$4:$B$203,MATCH($A198,'HỌC VIÊN'!$A$4:$A$203,0)),"")</f>
        <v/>
      </c>
      <c r="C198" s="40">
        <f>IF($B198="","",SUMPRODUCT(('LOG VẮNG'!$C$2:$C$1000&lt;&gt;"")*(YEAR('LOG VẮNG'!$C$2:$C$1000)=2026)*(MONTH('LOG VẮNG'!$C$2:$C$1000)=1)*ISNUMBER(SEARCH($A198,'LOG VẮNG'!$D$2:$D$1000))))</f>
        <v/>
      </c>
      <c r="D198" s="40">
        <f>IF($B198="","",SUMPRODUCT(('LOG VẮNG'!$C$2:$C$1000&lt;&gt;"")*(YEAR('LOG VẮNG'!$C$2:$C$1000)=2026)*(MONTH('LOG VẮNG'!$C$2:$C$1000)=2)*ISNUMBER(SEARCH($A198,'LOG VẮNG'!$D$2:$D$1000))))</f>
        <v/>
      </c>
      <c r="E198" s="40">
        <f>IF($B198="","",SUMPRODUCT(('LOG VẮNG'!$C$2:$C$1000&lt;&gt;"")*(YEAR('LOG VẮNG'!$C$2:$C$1000)=2026)*(MONTH('LOG VẮNG'!$C$2:$C$1000)=3)*ISNUMBER(SEARCH($A198,'LOG VẮNG'!$D$2:$D$1000))))</f>
        <v/>
      </c>
      <c r="F198" s="40">
        <f>IF($B198="","",SUMPRODUCT(('LOG VẮNG'!$C$2:$C$1000&lt;&gt;"")*(YEAR('LOG VẮNG'!$C$2:$C$1000)=2026)*(MONTH('LOG VẮNG'!$C$2:$C$1000)=4)*ISNUMBER(SEARCH($A198,'LOG VẮNG'!$D$2:$D$1000))))</f>
        <v/>
      </c>
      <c r="G198" s="40">
        <f>IF($B198="","",SUMPRODUCT(('LOG VẮNG'!$C$2:$C$1000&lt;&gt;"")*(YEAR('LOG VẮNG'!$C$2:$C$1000)=2026)*(MONTH('LOG VẮNG'!$C$2:$C$1000)=5)*ISNUMBER(SEARCH($A198,'LOG VẮNG'!$D$2:$D$1000))))</f>
        <v/>
      </c>
      <c r="H198" s="40">
        <f>IF($B198="","",SUMPRODUCT(('LOG VẮNG'!$C$2:$C$1000&lt;&gt;"")*(YEAR('LOG VẮNG'!$C$2:$C$1000)=2026)*(MONTH('LOG VẮNG'!$C$2:$C$1000)=6)*ISNUMBER(SEARCH($A198,'LOG VẮNG'!$D$2:$D$1000))))</f>
        <v/>
      </c>
      <c r="I198" s="40">
        <f>IF($B198="","",SUMPRODUCT(('LOG VẮNG'!$C$2:$C$1000&lt;&gt;"")*(YEAR('LOG VẮNG'!$C$2:$C$1000)=2026)*(MONTH('LOG VẮNG'!$C$2:$C$1000)=7)*ISNUMBER(SEARCH($A198,'LOG VẮNG'!$D$2:$D$1000))))</f>
        <v/>
      </c>
      <c r="J198" s="40">
        <f>IF($B198="","",SUMPRODUCT(('LOG VẮNG'!$C$2:$C$1000&lt;&gt;"")*(YEAR('LOG VẮNG'!$C$2:$C$1000)=2026)*(MONTH('LOG VẮNG'!$C$2:$C$1000)=8)*ISNUMBER(SEARCH($A198,'LOG VẮNG'!$D$2:$D$1000))))</f>
        <v/>
      </c>
      <c r="K198" s="40">
        <f>IF($B198="","",SUMPRODUCT(('LOG VẮNG'!$C$2:$C$1000&lt;&gt;"")*(YEAR('LOG VẮNG'!$C$2:$C$1000)=2026)*(MONTH('LOG VẮNG'!$C$2:$C$1000)=9)*ISNUMBER(SEARCH($A198,'LOG VẮNG'!$D$2:$D$1000))))</f>
        <v/>
      </c>
      <c r="L198" s="40">
        <f>IF($B198="","",SUMPRODUCT(('LOG VẮNG'!$C$2:$C$1000&lt;&gt;"")*(YEAR('LOG VẮNG'!$C$2:$C$1000)=2026)*(MONTH('LOG VẮNG'!$C$2:$C$1000)=10)*ISNUMBER(SEARCH($A198,'LOG VẮNG'!$D$2:$D$1000))))</f>
        <v/>
      </c>
      <c r="M198" s="40">
        <f>IF($B198="","",SUMPRODUCT(('LOG VẮNG'!$C$2:$C$1000&lt;&gt;"")*(YEAR('LOG VẮNG'!$C$2:$C$1000)=2026)*(MONTH('LOG VẮNG'!$C$2:$C$1000)=11)*ISNUMBER(SEARCH($A198,'LOG VẮNG'!$D$2:$D$1000))))</f>
        <v/>
      </c>
      <c r="N198" s="40">
        <f>IF($B198="","",SUMPRODUCT(('LOG VẮNG'!$C$2:$C$1000&lt;&gt;"")*(YEAR('LOG VẮNG'!$C$2:$C$1000)=2026)*(MONTH('LOG VẮNG'!$C$2:$C$1000)=12)*ISNUMBER(SEARCH($A198,'LOG VẮNG'!$D$2:$D$1000))))</f>
        <v/>
      </c>
      <c r="O198" s="40">
        <f>IF($B198="","",SUM(C198:N198))</f>
        <v/>
      </c>
    </row>
    <row r="199">
      <c r="A199" s="40" t="inlineStr">
        <is>
          <t>ORI197</t>
        </is>
      </c>
      <c r="B199" s="46">
        <f>IFERROR(INDEX('HỌC VIÊN'!$B$4:$B$203,MATCH($A199,'HỌC VIÊN'!$A$4:$A$203,0)),"")</f>
        <v/>
      </c>
      <c r="C199" s="40">
        <f>IF($B199="","",SUMPRODUCT(('LOG VẮNG'!$C$2:$C$1000&lt;&gt;"")*(YEAR('LOG VẮNG'!$C$2:$C$1000)=2026)*(MONTH('LOG VẮNG'!$C$2:$C$1000)=1)*ISNUMBER(SEARCH($A199,'LOG VẮNG'!$D$2:$D$1000))))</f>
        <v/>
      </c>
      <c r="D199" s="40">
        <f>IF($B199="","",SUMPRODUCT(('LOG VẮNG'!$C$2:$C$1000&lt;&gt;"")*(YEAR('LOG VẮNG'!$C$2:$C$1000)=2026)*(MONTH('LOG VẮNG'!$C$2:$C$1000)=2)*ISNUMBER(SEARCH($A199,'LOG VẮNG'!$D$2:$D$1000))))</f>
        <v/>
      </c>
      <c r="E199" s="40">
        <f>IF($B199="","",SUMPRODUCT(('LOG VẮNG'!$C$2:$C$1000&lt;&gt;"")*(YEAR('LOG VẮNG'!$C$2:$C$1000)=2026)*(MONTH('LOG VẮNG'!$C$2:$C$1000)=3)*ISNUMBER(SEARCH($A199,'LOG VẮNG'!$D$2:$D$1000))))</f>
        <v/>
      </c>
      <c r="F199" s="40">
        <f>IF($B199="","",SUMPRODUCT(('LOG VẮNG'!$C$2:$C$1000&lt;&gt;"")*(YEAR('LOG VẮNG'!$C$2:$C$1000)=2026)*(MONTH('LOG VẮNG'!$C$2:$C$1000)=4)*ISNUMBER(SEARCH($A199,'LOG VẮNG'!$D$2:$D$1000))))</f>
        <v/>
      </c>
      <c r="G199" s="40">
        <f>IF($B199="","",SUMPRODUCT(('LOG VẮNG'!$C$2:$C$1000&lt;&gt;"")*(YEAR('LOG VẮNG'!$C$2:$C$1000)=2026)*(MONTH('LOG VẮNG'!$C$2:$C$1000)=5)*ISNUMBER(SEARCH($A199,'LOG VẮNG'!$D$2:$D$1000))))</f>
        <v/>
      </c>
      <c r="H199" s="40">
        <f>IF($B199="","",SUMPRODUCT(('LOG VẮNG'!$C$2:$C$1000&lt;&gt;"")*(YEAR('LOG VẮNG'!$C$2:$C$1000)=2026)*(MONTH('LOG VẮNG'!$C$2:$C$1000)=6)*ISNUMBER(SEARCH($A199,'LOG VẮNG'!$D$2:$D$1000))))</f>
        <v/>
      </c>
      <c r="I199" s="40">
        <f>IF($B199="","",SUMPRODUCT(('LOG VẮNG'!$C$2:$C$1000&lt;&gt;"")*(YEAR('LOG VẮNG'!$C$2:$C$1000)=2026)*(MONTH('LOG VẮNG'!$C$2:$C$1000)=7)*ISNUMBER(SEARCH($A199,'LOG VẮNG'!$D$2:$D$1000))))</f>
        <v/>
      </c>
      <c r="J199" s="40">
        <f>IF($B199="","",SUMPRODUCT(('LOG VẮNG'!$C$2:$C$1000&lt;&gt;"")*(YEAR('LOG VẮNG'!$C$2:$C$1000)=2026)*(MONTH('LOG VẮNG'!$C$2:$C$1000)=8)*ISNUMBER(SEARCH($A199,'LOG VẮNG'!$D$2:$D$1000))))</f>
        <v/>
      </c>
      <c r="K199" s="40">
        <f>IF($B199="","",SUMPRODUCT(('LOG VẮNG'!$C$2:$C$1000&lt;&gt;"")*(YEAR('LOG VẮNG'!$C$2:$C$1000)=2026)*(MONTH('LOG VẮNG'!$C$2:$C$1000)=9)*ISNUMBER(SEARCH($A199,'LOG VẮNG'!$D$2:$D$1000))))</f>
        <v/>
      </c>
      <c r="L199" s="40">
        <f>IF($B199="","",SUMPRODUCT(('LOG VẮNG'!$C$2:$C$1000&lt;&gt;"")*(YEAR('LOG VẮNG'!$C$2:$C$1000)=2026)*(MONTH('LOG VẮNG'!$C$2:$C$1000)=10)*ISNUMBER(SEARCH($A199,'LOG VẮNG'!$D$2:$D$1000))))</f>
        <v/>
      </c>
      <c r="M199" s="40">
        <f>IF($B199="","",SUMPRODUCT(('LOG VẮNG'!$C$2:$C$1000&lt;&gt;"")*(YEAR('LOG VẮNG'!$C$2:$C$1000)=2026)*(MONTH('LOG VẮNG'!$C$2:$C$1000)=11)*ISNUMBER(SEARCH($A199,'LOG VẮNG'!$D$2:$D$1000))))</f>
        <v/>
      </c>
      <c r="N199" s="40">
        <f>IF($B199="","",SUMPRODUCT(('LOG VẮNG'!$C$2:$C$1000&lt;&gt;"")*(YEAR('LOG VẮNG'!$C$2:$C$1000)=2026)*(MONTH('LOG VẮNG'!$C$2:$C$1000)=12)*ISNUMBER(SEARCH($A199,'LOG VẮNG'!$D$2:$D$1000))))</f>
        <v/>
      </c>
      <c r="O199" s="40">
        <f>IF($B199="","",SUM(C199:N199))</f>
        <v/>
      </c>
    </row>
    <row r="200">
      <c r="A200" s="40" t="inlineStr">
        <is>
          <t>ORI198</t>
        </is>
      </c>
      <c r="B200" s="46">
        <f>IFERROR(INDEX('HỌC VIÊN'!$B$4:$B$203,MATCH($A200,'HỌC VIÊN'!$A$4:$A$203,0)),"")</f>
        <v/>
      </c>
      <c r="C200" s="40">
        <f>IF($B200="","",SUMPRODUCT(('LOG VẮNG'!$C$2:$C$1000&lt;&gt;"")*(YEAR('LOG VẮNG'!$C$2:$C$1000)=2026)*(MONTH('LOG VẮNG'!$C$2:$C$1000)=1)*ISNUMBER(SEARCH($A200,'LOG VẮNG'!$D$2:$D$1000))))</f>
        <v/>
      </c>
      <c r="D200" s="40">
        <f>IF($B200="","",SUMPRODUCT(('LOG VẮNG'!$C$2:$C$1000&lt;&gt;"")*(YEAR('LOG VẮNG'!$C$2:$C$1000)=2026)*(MONTH('LOG VẮNG'!$C$2:$C$1000)=2)*ISNUMBER(SEARCH($A200,'LOG VẮNG'!$D$2:$D$1000))))</f>
        <v/>
      </c>
      <c r="E200" s="40">
        <f>IF($B200="","",SUMPRODUCT(('LOG VẮNG'!$C$2:$C$1000&lt;&gt;"")*(YEAR('LOG VẮNG'!$C$2:$C$1000)=2026)*(MONTH('LOG VẮNG'!$C$2:$C$1000)=3)*ISNUMBER(SEARCH($A200,'LOG VẮNG'!$D$2:$D$1000))))</f>
        <v/>
      </c>
      <c r="F200" s="40">
        <f>IF($B200="","",SUMPRODUCT(('LOG VẮNG'!$C$2:$C$1000&lt;&gt;"")*(YEAR('LOG VẮNG'!$C$2:$C$1000)=2026)*(MONTH('LOG VẮNG'!$C$2:$C$1000)=4)*ISNUMBER(SEARCH($A200,'LOG VẮNG'!$D$2:$D$1000))))</f>
        <v/>
      </c>
      <c r="G200" s="40">
        <f>IF($B200="","",SUMPRODUCT(('LOG VẮNG'!$C$2:$C$1000&lt;&gt;"")*(YEAR('LOG VẮNG'!$C$2:$C$1000)=2026)*(MONTH('LOG VẮNG'!$C$2:$C$1000)=5)*ISNUMBER(SEARCH($A200,'LOG VẮNG'!$D$2:$D$1000))))</f>
        <v/>
      </c>
      <c r="H200" s="40">
        <f>IF($B200="","",SUMPRODUCT(('LOG VẮNG'!$C$2:$C$1000&lt;&gt;"")*(YEAR('LOG VẮNG'!$C$2:$C$1000)=2026)*(MONTH('LOG VẮNG'!$C$2:$C$1000)=6)*ISNUMBER(SEARCH($A200,'LOG VẮNG'!$D$2:$D$1000))))</f>
        <v/>
      </c>
      <c r="I200" s="40">
        <f>IF($B200="","",SUMPRODUCT(('LOG VẮNG'!$C$2:$C$1000&lt;&gt;"")*(YEAR('LOG VẮNG'!$C$2:$C$1000)=2026)*(MONTH('LOG VẮNG'!$C$2:$C$1000)=7)*ISNUMBER(SEARCH($A200,'LOG VẮNG'!$D$2:$D$1000))))</f>
        <v/>
      </c>
      <c r="J200" s="40">
        <f>IF($B200="","",SUMPRODUCT(('LOG VẮNG'!$C$2:$C$1000&lt;&gt;"")*(YEAR('LOG VẮNG'!$C$2:$C$1000)=2026)*(MONTH('LOG VẮNG'!$C$2:$C$1000)=8)*ISNUMBER(SEARCH($A200,'LOG VẮNG'!$D$2:$D$1000))))</f>
        <v/>
      </c>
      <c r="K200" s="40">
        <f>IF($B200="","",SUMPRODUCT(('LOG VẮNG'!$C$2:$C$1000&lt;&gt;"")*(YEAR('LOG VẮNG'!$C$2:$C$1000)=2026)*(MONTH('LOG VẮNG'!$C$2:$C$1000)=9)*ISNUMBER(SEARCH($A200,'LOG VẮNG'!$D$2:$D$1000))))</f>
        <v/>
      </c>
      <c r="L200" s="40">
        <f>IF($B200="","",SUMPRODUCT(('LOG VẮNG'!$C$2:$C$1000&lt;&gt;"")*(YEAR('LOG VẮNG'!$C$2:$C$1000)=2026)*(MONTH('LOG VẮNG'!$C$2:$C$1000)=10)*ISNUMBER(SEARCH($A200,'LOG VẮNG'!$D$2:$D$1000))))</f>
        <v/>
      </c>
      <c r="M200" s="40">
        <f>IF($B200="","",SUMPRODUCT(('LOG VẮNG'!$C$2:$C$1000&lt;&gt;"")*(YEAR('LOG VẮNG'!$C$2:$C$1000)=2026)*(MONTH('LOG VẮNG'!$C$2:$C$1000)=11)*ISNUMBER(SEARCH($A200,'LOG VẮNG'!$D$2:$D$1000))))</f>
        <v/>
      </c>
      <c r="N200" s="40">
        <f>IF($B200="","",SUMPRODUCT(('LOG VẮNG'!$C$2:$C$1000&lt;&gt;"")*(YEAR('LOG VẮNG'!$C$2:$C$1000)=2026)*(MONTH('LOG VẮNG'!$C$2:$C$1000)=12)*ISNUMBER(SEARCH($A200,'LOG VẮNG'!$D$2:$D$1000))))</f>
        <v/>
      </c>
      <c r="O200" s="40">
        <f>IF($B200="","",SUM(C200:N200))</f>
        <v/>
      </c>
    </row>
    <row r="201">
      <c r="A201" s="40" t="inlineStr">
        <is>
          <t>ORI199</t>
        </is>
      </c>
      <c r="B201" s="46">
        <f>IFERROR(INDEX('HỌC VIÊN'!$B$4:$B$203,MATCH($A201,'HỌC VIÊN'!$A$4:$A$203,0)),"")</f>
        <v/>
      </c>
      <c r="C201" s="40">
        <f>IF($B201="","",SUMPRODUCT(('LOG VẮNG'!$C$2:$C$1000&lt;&gt;"")*(YEAR('LOG VẮNG'!$C$2:$C$1000)=2026)*(MONTH('LOG VẮNG'!$C$2:$C$1000)=1)*ISNUMBER(SEARCH($A201,'LOG VẮNG'!$D$2:$D$1000))))</f>
        <v/>
      </c>
      <c r="D201" s="40">
        <f>IF($B201="","",SUMPRODUCT(('LOG VẮNG'!$C$2:$C$1000&lt;&gt;"")*(YEAR('LOG VẮNG'!$C$2:$C$1000)=2026)*(MONTH('LOG VẮNG'!$C$2:$C$1000)=2)*ISNUMBER(SEARCH($A201,'LOG VẮNG'!$D$2:$D$1000))))</f>
        <v/>
      </c>
      <c r="E201" s="40">
        <f>IF($B201="","",SUMPRODUCT(('LOG VẮNG'!$C$2:$C$1000&lt;&gt;"")*(YEAR('LOG VẮNG'!$C$2:$C$1000)=2026)*(MONTH('LOG VẮNG'!$C$2:$C$1000)=3)*ISNUMBER(SEARCH($A201,'LOG VẮNG'!$D$2:$D$1000))))</f>
        <v/>
      </c>
      <c r="F201" s="40">
        <f>IF($B201="","",SUMPRODUCT(('LOG VẮNG'!$C$2:$C$1000&lt;&gt;"")*(YEAR('LOG VẮNG'!$C$2:$C$1000)=2026)*(MONTH('LOG VẮNG'!$C$2:$C$1000)=4)*ISNUMBER(SEARCH($A201,'LOG VẮNG'!$D$2:$D$1000))))</f>
        <v/>
      </c>
      <c r="G201" s="40">
        <f>IF($B201="","",SUMPRODUCT(('LOG VẮNG'!$C$2:$C$1000&lt;&gt;"")*(YEAR('LOG VẮNG'!$C$2:$C$1000)=2026)*(MONTH('LOG VẮNG'!$C$2:$C$1000)=5)*ISNUMBER(SEARCH($A201,'LOG VẮNG'!$D$2:$D$1000))))</f>
        <v/>
      </c>
      <c r="H201" s="40">
        <f>IF($B201="","",SUMPRODUCT(('LOG VẮNG'!$C$2:$C$1000&lt;&gt;"")*(YEAR('LOG VẮNG'!$C$2:$C$1000)=2026)*(MONTH('LOG VẮNG'!$C$2:$C$1000)=6)*ISNUMBER(SEARCH($A201,'LOG VẮNG'!$D$2:$D$1000))))</f>
        <v/>
      </c>
      <c r="I201" s="40">
        <f>IF($B201="","",SUMPRODUCT(('LOG VẮNG'!$C$2:$C$1000&lt;&gt;"")*(YEAR('LOG VẮNG'!$C$2:$C$1000)=2026)*(MONTH('LOG VẮNG'!$C$2:$C$1000)=7)*ISNUMBER(SEARCH($A201,'LOG VẮNG'!$D$2:$D$1000))))</f>
        <v/>
      </c>
      <c r="J201" s="40">
        <f>IF($B201="","",SUMPRODUCT(('LOG VẮNG'!$C$2:$C$1000&lt;&gt;"")*(YEAR('LOG VẮNG'!$C$2:$C$1000)=2026)*(MONTH('LOG VẮNG'!$C$2:$C$1000)=8)*ISNUMBER(SEARCH($A201,'LOG VẮNG'!$D$2:$D$1000))))</f>
        <v/>
      </c>
      <c r="K201" s="40">
        <f>IF($B201="","",SUMPRODUCT(('LOG VẮNG'!$C$2:$C$1000&lt;&gt;"")*(YEAR('LOG VẮNG'!$C$2:$C$1000)=2026)*(MONTH('LOG VẮNG'!$C$2:$C$1000)=9)*ISNUMBER(SEARCH($A201,'LOG VẮNG'!$D$2:$D$1000))))</f>
        <v/>
      </c>
      <c r="L201" s="40">
        <f>IF($B201="","",SUMPRODUCT(('LOG VẮNG'!$C$2:$C$1000&lt;&gt;"")*(YEAR('LOG VẮNG'!$C$2:$C$1000)=2026)*(MONTH('LOG VẮNG'!$C$2:$C$1000)=10)*ISNUMBER(SEARCH($A201,'LOG VẮNG'!$D$2:$D$1000))))</f>
        <v/>
      </c>
      <c r="M201" s="40">
        <f>IF($B201="","",SUMPRODUCT(('LOG VẮNG'!$C$2:$C$1000&lt;&gt;"")*(YEAR('LOG VẮNG'!$C$2:$C$1000)=2026)*(MONTH('LOG VẮNG'!$C$2:$C$1000)=11)*ISNUMBER(SEARCH($A201,'LOG VẮNG'!$D$2:$D$1000))))</f>
        <v/>
      </c>
      <c r="N201" s="40">
        <f>IF($B201="","",SUMPRODUCT(('LOG VẮNG'!$C$2:$C$1000&lt;&gt;"")*(YEAR('LOG VẮNG'!$C$2:$C$1000)=2026)*(MONTH('LOG VẮNG'!$C$2:$C$1000)=12)*ISNUMBER(SEARCH($A201,'LOG VẮNG'!$D$2:$D$1000))))</f>
        <v/>
      </c>
      <c r="O201" s="40">
        <f>IF($B201="","",SUM(C201:N201))</f>
        <v/>
      </c>
    </row>
    <row r="202">
      <c r="A202" s="40" t="inlineStr">
        <is>
          <t>ORI200</t>
        </is>
      </c>
      <c r="B202" s="46">
        <f>IFERROR(INDEX('HỌC VIÊN'!$B$4:$B$203,MATCH($A202,'HỌC VIÊN'!$A$4:$A$203,0)),"")</f>
        <v/>
      </c>
      <c r="C202" s="40">
        <f>IF($B202="","",SUMPRODUCT(('LOG VẮNG'!$C$2:$C$1000&lt;&gt;"")*(YEAR('LOG VẮNG'!$C$2:$C$1000)=2026)*(MONTH('LOG VẮNG'!$C$2:$C$1000)=1)*ISNUMBER(SEARCH($A202,'LOG VẮNG'!$D$2:$D$1000))))</f>
        <v/>
      </c>
      <c r="D202" s="40">
        <f>IF($B202="","",SUMPRODUCT(('LOG VẮNG'!$C$2:$C$1000&lt;&gt;"")*(YEAR('LOG VẮNG'!$C$2:$C$1000)=2026)*(MONTH('LOG VẮNG'!$C$2:$C$1000)=2)*ISNUMBER(SEARCH($A202,'LOG VẮNG'!$D$2:$D$1000))))</f>
        <v/>
      </c>
      <c r="E202" s="40">
        <f>IF($B202="","",SUMPRODUCT(('LOG VẮNG'!$C$2:$C$1000&lt;&gt;"")*(YEAR('LOG VẮNG'!$C$2:$C$1000)=2026)*(MONTH('LOG VẮNG'!$C$2:$C$1000)=3)*ISNUMBER(SEARCH($A202,'LOG VẮNG'!$D$2:$D$1000))))</f>
        <v/>
      </c>
      <c r="F202" s="40">
        <f>IF($B202="","",SUMPRODUCT(('LOG VẮNG'!$C$2:$C$1000&lt;&gt;"")*(YEAR('LOG VẮNG'!$C$2:$C$1000)=2026)*(MONTH('LOG VẮNG'!$C$2:$C$1000)=4)*ISNUMBER(SEARCH($A202,'LOG VẮNG'!$D$2:$D$1000))))</f>
        <v/>
      </c>
      <c r="G202" s="40">
        <f>IF($B202="","",SUMPRODUCT(('LOG VẮNG'!$C$2:$C$1000&lt;&gt;"")*(YEAR('LOG VẮNG'!$C$2:$C$1000)=2026)*(MONTH('LOG VẮNG'!$C$2:$C$1000)=5)*ISNUMBER(SEARCH($A202,'LOG VẮNG'!$D$2:$D$1000))))</f>
        <v/>
      </c>
      <c r="H202" s="40">
        <f>IF($B202="","",SUMPRODUCT(('LOG VẮNG'!$C$2:$C$1000&lt;&gt;"")*(YEAR('LOG VẮNG'!$C$2:$C$1000)=2026)*(MONTH('LOG VẮNG'!$C$2:$C$1000)=6)*ISNUMBER(SEARCH($A202,'LOG VẮNG'!$D$2:$D$1000))))</f>
        <v/>
      </c>
      <c r="I202" s="40">
        <f>IF($B202="","",SUMPRODUCT(('LOG VẮNG'!$C$2:$C$1000&lt;&gt;"")*(YEAR('LOG VẮNG'!$C$2:$C$1000)=2026)*(MONTH('LOG VẮNG'!$C$2:$C$1000)=7)*ISNUMBER(SEARCH($A202,'LOG VẮNG'!$D$2:$D$1000))))</f>
        <v/>
      </c>
      <c r="J202" s="40">
        <f>IF($B202="","",SUMPRODUCT(('LOG VẮNG'!$C$2:$C$1000&lt;&gt;"")*(YEAR('LOG VẮNG'!$C$2:$C$1000)=2026)*(MONTH('LOG VẮNG'!$C$2:$C$1000)=8)*ISNUMBER(SEARCH($A202,'LOG VẮNG'!$D$2:$D$1000))))</f>
        <v/>
      </c>
      <c r="K202" s="40">
        <f>IF($B202="","",SUMPRODUCT(('LOG VẮNG'!$C$2:$C$1000&lt;&gt;"")*(YEAR('LOG VẮNG'!$C$2:$C$1000)=2026)*(MONTH('LOG VẮNG'!$C$2:$C$1000)=9)*ISNUMBER(SEARCH($A202,'LOG VẮNG'!$D$2:$D$1000))))</f>
        <v/>
      </c>
      <c r="L202" s="40">
        <f>IF($B202="","",SUMPRODUCT(('LOG VẮNG'!$C$2:$C$1000&lt;&gt;"")*(YEAR('LOG VẮNG'!$C$2:$C$1000)=2026)*(MONTH('LOG VẮNG'!$C$2:$C$1000)=10)*ISNUMBER(SEARCH($A202,'LOG VẮNG'!$D$2:$D$1000))))</f>
        <v/>
      </c>
      <c r="M202" s="40">
        <f>IF($B202="","",SUMPRODUCT(('LOG VẮNG'!$C$2:$C$1000&lt;&gt;"")*(YEAR('LOG VẮNG'!$C$2:$C$1000)=2026)*(MONTH('LOG VẮNG'!$C$2:$C$1000)=11)*ISNUMBER(SEARCH($A202,'LOG VẮNG'!$D$2:$D$1000))))</f>
        <v/>
      </c>
      <c r="N202" s="40">
        <f>IF($B202="","",SUMPRODUCT(('LOG VẮNG'!$C$2:$C$1000&lt;&gt;"")*(YEAR('LOG VẮNG'!$C$2:$C$1000)=2026)*(MONTH('LOG VẮNG'!$C$2:$C$1000)=12)*ISNUMBER(SEARCH($A202,'LOG VẮNG'!$D$2:$D$1000))))</f>
        <v/>
      </c>
      <c r="O202" s="40">
        <f>IF($B202="","",SUM(C202:N202))</f>
        <v/>
      </c>
    </row>
  </sheetData>
  <autoFilter ref="A2:O202"/>
  <mergeCells count="1">
    <mergeCell ref="A1:O1"/>
  </mergeCells>
  <conditionalFormatting sqref="C3:N202">
    <cfRule type="cellIs" priority="1" operator="greaterThanOrEqual" dxfId="7">
      <formula>3</formula>
    </cfRule>
    <cfRule type="cellIs" priority="2" operator="equal" dxfId="6">
      <formula>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G50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2" customWidth="1" min="3" max="3"/>
    <col width="14" customWidth="1" min="4" max="4"/>
    <col width="40" customWidth="1" min="5" max="5"/>
    <col width="15" customWidth="1" min="6" max="6"/>
    <col width="13" customWidth="1" min="7" max="7"/>
  </cols>
  <sheetData>
    <row r="1" ht="30" customHeight="1">
      <c r="A1" s="1" t="inlineStr">
        <is>
          <t>🎓 ORI ACADEMY   ·   NHẬT KÝ CHĂM SÓC — GỌI RỒI PHẢI GHI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24" t="inlineStr">
        <is>
          <t>Ngày liên hệ</t>
        </is>
      </c>
      <c r="B2" s="24" t="inlineStr">
        <is>
          <t>Mã HV</t>
        </is>
      </c>
      <c r="C2" s="24" t="inlineStr">
        <is>
          <t>Họ và tên</t>
        </is>
      </c>
      <c r="D2" s="24" t="inlineStr">
        <is>
          <t>Kênh</t>
        </is>
      </c>
      <c r="E2" s="24" t="inlineStr">
        <is>
          <t>Nội dung / Kết quả</t>
        </is>
      </c>
      <c r="F2" s="24" t="inlineStr">
        <is>
          <t>Người phụ trách</t>
        </is>
      </c>
      <c r="G2" s="24" t="inlineStr">
        <is>
          <t>Ngày hẹn lại</t>
        </is>
      </c>
    </row>
    <row r="3">
      <c r="A3" s="34" t="n">
        <v>46239</v>
      </c>
      <c r="B3" s="33" t="inlineStr">
        <is>
          <t>ORI015</t>
        </is>
      </c>
      <c r="C3" s="33">
        <f>IF($B3="","",IFERROR(INDEX('HỌC VIÊN'!$B$4:$B$203,MATCH($B3,'HỌC VIÊN'!$A$4:$A$203,0)),""))</f>
        <v/>
      </c>
      <c r="D3" s="33" t="inlineStr">
        <is>
          <t>Gọi điện</t>
        </is>
      </c>
      <c r="E3" s="33" t="inlineStr">
        <is>
          <t>PH báo con bận thi, xin bảo lưu 1 tháng</t>
        </is>
      </c>
      <c r="F3" s="33" t="inlineStr">
        <is>
          <t>Ms. Trang</t>
        </is>
      </c>
      <c r="G3" s="34" t="n">
        <v>46270</v>
      </c>
    </row>
    <row r="4">
      <c r="A4" s="35" t="n"/>
      <c r="B4" s="25" t="n"/>
      <c r="C4" s="25">
        <f>IF($B4="","",IFERROR(INDEX('HỌC VIÊN'!$B$4:$B$203,MATCH($B4,'HỌC VIÊN'!$A$4:$A$203,0)),""))</f>
        <v/>
      </c>
      <c r="D4" s="25" t="n"/>
      <c r="E4" s="25" t="n"/>
      <c r="F4" s="25" t="n"/>
      <c r="G4" s="35" t="n"/>
    </row>
    <row r="5">
      <c r="A5" s="35" t="n"/>
      <c r="B5" s="25" t="n"/>
      <c r="C5" s="25">
        <f>IF($B5="","",IFERROR(INDEX('HỌC VIÊN'!$B$4:$B$203,MATCH($B5,'HỌC VIÊN'!$A$4:$A$203,0)),""))</f>
        <v/>
      </c>
      <c r="D5" s="25" t="n"/>
      <c r="E5" s="25" t="n"/>
      <c r="F5" s="25" t="n"/>
      <c r="G5" s="35" t="n"/>
    </row>
    <row r="6">
      <c r="A6" s="35" t="n"/>
      <c r="B6" s="25" t="n"/>
      <c r="C6" s="25">
        <f>IF($B6="","",IFERROR(INDEX('HỌC VIÊN'!$B$4:$B$203,MATCH($B6,'HỌC VIÊN'!$A$4:$A$203,0)),""))</f>
        <v/>
      </c>
      <c r="D6" s="25" t="n"/>
      <c r="E6" s="25" t="n"/>
      <c r="F6" s="25" t="n"/>
      <c r="G6" s="35" t="n"/>
    </row>
    <row r="7">
      <c r="A7" s="35" t="n"/>
      <c r="B7" s="25" t="n"/>
      <c r="C7" s="25">
        <f>IF($B7="","",IFERROR(INDEX('HỌC VIÊN'!$B$4:$B$203,MATCH($B7,'HỌC VIÊN'!$A$4:$A$203,0)),""))</f>
        <v/>
      </c>
      <c r="D7" s="25" t="n"/>
      <c r="E7" s="25" t="n"/>
      <c r="F7" s="25" t="n"/>
      <c r="G7" s="35" t="n"/>
    </row>
    <row r="8">
      <c r="A8" s="35" t="n"/>
      <c r="B8" s="25" t="n"/>
      <c r="C8" s="25">
        <f>IF($B8="","",IFERROR(INDEX('HỌC VIÊN'!$B$4:$B$203,MATCH($B8,'HỌC VIÊN'!$A$4:$A$203,0)),""))</f>
        <v/>
      </c>
      <c r="D8" s="25" t="n"/>
      <c r="E8" s="25" t="n"/>
      <c r="F8" s="25" t="n"/>
      <c r="G8" s="35" t="n"/>
    </row>
    <row r="9">
      <c r="A9" s="35" t="n"/>
      <c r="B9" s="25" t="n"/>
      <c r="C9" s="25">
        <f>IF($B9="","",IFERROR(INDEX('HỌC VIÊN'!$B$4:$B$203,MATCH($B9,'HỌC VIÊN'!$A$4:$A$203,0)),""))</f>
        <v/>
      </c>
      <c r="D9" s="25" t="n"/>
      <c r="E9" s="25" t="n"/>
      <c r="F9" s="25" t="n"/>
      <c r="G9" s="35" t="n"/>
    </row>
    <row r="10">
      <c r="A10" s="35" t="n"/>
      <c r="B10" s="25" t="n"/>
      <c r="C10" s="25">
        <f>IF($B10="","",IFERROR(INDEX('HỌC VIÊN'!$B$4:$B$203,MATCH($B10,'HỌC VIÊN'!$A$4:$A$203,0)),""))</f>
        <v/>
      </c>
      <c r="D10" s="25" t="n"/>
      <c r="E10" s="25" t="n"/>
      <c r="F10" s="25" t="n"/>
      <c r="G10" s="35" t="n"/>
    </row>
    <row r="11">
      <c r="A11" s="35" t="n"/>
      <c r="B11" s="25" t="n"/>
      <c r="C11" s="25">
        <f>IF($B11="","",IFERROR(INDEX('HỌC VIÊN'!$B$4:$B$203,MATCH($B11,'HỌC VIÊN'!$A$4:$A$203,0)),""))</f>
        <v/>
      </c>
      <c r="D11" s="25" t="n"/>
      <c r="E11" s="25" t="n"/>
      <c r="F11" s="25" t="n"/>
      <c r="G11" s="35" t="n"/>
    </row>
    <row r="12">
      <c r="A12" s="35" t="n"/>
      <c r="B12" s="25" t="n"/>
      <c r="C12" s="25">
        <f>IF($B12="","",IFERROR(INDEX('HỌC VIÊN'!$B$4:$B$203,MATCH($B12,'HỌC VIÊN'!$A$4:$A$203,0)),""))</f>
        <v/>
      </c>
      <c r="D12" s="25" t="n"/>
      <c r="E12" s="25" t="n"/>
      <c r="F12" s="25" t="n"/>
      <c r="G12" s="35" t="n"/>
    </row>
    <row r="13">
      <c r="A13" s="35" t="n"/>
      <c r="B13" s="25" t="n"/>
      <c r="C13" s="25">
        <f>IF($B13="","",IFERROR(INDEX('HỌC VIÊN'!$B$4:$B$203,MATCH($B13,'HỌC VIÊN'!$A$4:$A$203,0)),""))</f>
        <v/>
      </c>
      <c r="D13" s="25" t="n"/>
      <c r="E13" s="25" t="n"/>
      <c r="F13" s="25" t="n"/>
      <c r="G13" s="35" t="n"/>
    </row>
    <row r="14">
      <c r="A14" s="35" t="n"/>
      <c r="B14" s="25" t="n"/>
      <c r="C14" s="25">
        <f>IF($B14="","",IFERROR(INDEX('HỌC VIÊN'!$B$4:$B$203,MATCH($B14,'HỌC VIÊN'!$A$4:$A$203,0)),""))</f>
        <v/>
      </c>
      <c r="D14" s="25" t="n"/>
      <c r="E14" s="25" t="n"/>
      <c r="F14" s="25" t="n"/>
      <c r="G14" s="35" t="n"/>
    </row>
    <row r="15">
      <c r="A15" s="35" t="n"/>
      <c r="B15" s="25" t="n"/>
      <c r="C15" s="25">
        <f>IF($B15="","",IFERROR(INDEX('HỌC VIÊN'!$B$4:$B$203,MATCH($B15,'HỌC VIÊN'!$A$4:$A$203,0)),""))</f>
        <v/>
      </c>
      <c r="D15" s="25" t="n"/>
      <c r="E15" s="25" t="n"/>
      <c r="F15" s="25" t="n"/>
      <c r="G15" s="35" t="n"/>
    </row>
    <row r="16">
      <c r="A16" s="35" t="n"/>
      <c r="B16" s="25" t="n"/>
      <c r="C16" s="25">
        <f>IF($B16="","",IFERROR(INDEX('HỌC VIÊN'!$B$4:$B$203,MATCH($B16,'HỌC VIÊN'!$A$4:$A$203,0)),""))</f>
        <v/>
      </c>
      <c r="D16" s="25" t="n"/>
      <c r="E16" s="25" t="n"/>
      <c r="F16" s="25" t="n"/>
      <c r="G16" s="35" t="n"/>
    </row>
    <row r="17">
      <c r="A17" s="35" t="n"/>
      <c r="B17" s="25" t="n"/>
      <c r="C17" s="25">
        <f>IF($B17="","",IFERROR(INDEX('HỌC VIÊN'!$B$4:$B$203,MATCH($B17,'HỌC VIÊN'!$A$4:$A$203,0)),""))</f>
        <v/>
      </c>
      <c r="D17" s="25" t="n"/>
      <c r="E17" s="25" t="n"/>
      <c r="F17" s="25" t="n"/>
      <c r="G17" s="35" t="n"/>
    </row>
    <row r="18">
      <c r="A18" s="35" t="n"/>
      <c r="B18" s="25" t="n"/>
      <c r="C18" s="25">
        <f>IF($B18="","",IFERROR(INDEX('HỌC VIÊN'!$B$4:$B$203,MATCH($B18,'HỌC VIÊN'!$A$4:$A$203,0)),""))</f>
        <v/>
      </c>
      <c r="D18" s="25" t="n"/>
      <c r="E18" s="25" t="n"/>
      <c r="F18" s="25" t="n"/>
      <c r="G18" s="35" t="n"/>
    </row>
    <row r="19">
      <c r="A19" s="35" t="n"/>
      <c r="B19" s="25" t="n"/>
      <c r="C19" s="25">
        <f>IF($B19="","",IFERROR(INDEX('HỌC VIÊN'!$B$4:$B$203,MATCH($B19,'HỌC VIÊN'!$A$4:$A$203,0)),""))</f>
        <v/>
      </c>
      <c r="D19" s="25" t="n"/>
      <c r="E19" s="25" t="n"/>
      <c r="F19" s="25" t="n"/>
      <c r="G19" s="35" t="n"/>
    </row>
    <row r="20">
      <c r="A20" s="35" t="n"/>
      <c r="B20" s="25" t="n"/>
      <c r="C20" s="25">
        <f>IF($B20="","",IFERROR(INDEX('HỌC VIÊN'!$B$4:$B$203,MATCH($B20,'HỌC VIÊN'!$A$4:$A$203,0)),""))</f>
        <v/>
      </c>
      <c r="D20" s="25" t="n"/>
      <c r="E20" s="25" t="n"/>
      <c r="F20" s="25" t="n"/>
      <c r="G20" s="35" t="n"/>
    </row>
    <row r="21">
      <c r="A21" s="35" t="n"/>
      <c r="B21" s="25" t="n"/>
      <c r="C21" s="25">
        <f>IF($B21="","",IFERROR(INDEX('HỌC VIÊN'!$B$4:$B$203,MATCH($B21,'HỌC VIÊN'!$A$4:$A$203,0)),""))</f>
        <v/>
      </c>
      <c r="D21" s="25" t="n"/>
      <c r="E21" s="25" t="n"/>
      <c r="F21" s="25" t="n"/>
      <c r="G21" s="35" t="n"/>
    </row>
    <row r="22">
      <c r="A22" s="35" t="n"/>
      <c r="B22" s="25" t="n"/>
      <c r="C22" s="25">
        <f>IF($B22="","",IFERROR(INDEX('HỌC VIÊN'!$B$4:$B$203,MATCH($B22,'HỌC VIÊN'!$A$4:$A$203,0)),""))</f>
        <v/>
      </c>
      <c r="D22" s="25" t="n"/>
      <c r="E22" s="25" t="n"/>
      <c r="F22" s="25" t="n"/>
      <c r="G22" s="35" t="n"/>
    </row>
    <row r="23">
      <c r="A23" s="35" t="n"/>
      <c r="B23" s="25" t="n"/>
      <c r="C23" s="25">
        <f>IF($B23="","",IFERROR(INDEX('HỌC VIÊN'!$B$4:$B$203,MATCH($B23,'HỌC VIÊN'!$A$4:$A$203,0)),""))</f>
        <v/>
      </c>
      <c r="D23" s="25" t="n"/>
      <c r="E23" s="25" t="n"/>
      <c r="F23" s="25" t="n"/>
      <c r="G23" s="35" t="n"/>
    </row>
    <row r="24">
      <c r="A24" s="35" t="n"/>
      <c r="B24" s="25" t="n"/>
      <c r="C24" s="25">
        <f>IF($B24="","",IFERROR(INDEX('HỌC VIÊN'!$B$4:$B$203,MATCH($B24,'HỌC VIÊN'!$A$4:$A$203,0)),""))</f>
        <v/>
      </c>
      <c r="D24" s="25" t="n"/>
      <c r="E24" s="25" t="n"/>
      <c r="F24" s="25" t="n"/>
      <c r="G24" s="35" t="n"/>
    </row>
    <row r="25">
      <c r="A25" s="35" t="n"/>
      <c r="B25" s="25" t="n"/>
      <c r="C25" s="25">
        <f>IF($B25="","",IFERROR(INDEX('HỌC VIÊN'!$B$4:$B$203,MATCH($B25,'HỌC VIÊN'!$A$4:$A$203,0)),""))</f>
        <v/>
      </c>
      <c r="D25" s="25" t="n"/>
      <c r="E25" s="25" t="n"/>
      <c r="F25" s="25" t="n"/>
      <c r="G25" s="35" t="n"/>
    </row>
    <row r="26">
      <c r="A26" s="35" t="n"/>
      <c r="B26" s="25" t="n"/>
      <c r="C26" s="25">
        <f>IF($B26="","",IFERROR(INDEX('HỌC VIÊN'!$B$4:$B$203,MATCH($B26,'HỌC VIÊN'!$A$4:$A$203,0)),""))</f>
        <v/>
      </c>
      <c r="D26" s="25" t="n"/>
      <c r="E26" s="25" t="n"/>
      <c r="F26" s="25" t="n"/>
      <c r="G26" s="35" t="n"/>
    </row>
    <row r="27">
      <c r="A27" s="35" t="n"/>
      <c r="B27" s="25" t="n"/>
      <c r="C27" s="25">
        <f>IF($B27="","",IFERROR(INDEX('HỌC VIÊN'!$B$4:$B$203,MATCH($B27,'HỌC VIÊN'!$A$4:$A$203,0)),""))</f>
        <v/>
      </c>
      <c r="D27" s="25" t="n"/>
      <c r="E27" s="25" t="n"/>
      <c r="F27" s="25" t="n"/>
      <c r="G27" s="35" t="n"/>
    </row>
    <row r="28">
      <c r="A28" s="35" t="n"/>
      <c r="B28" s="25" t="n"/>
      <c r="C28" s="25">
        <f>IF($B28="","",IFERROR(INDEX('HỌC VIÊN'!$B$4:$B$203,MATCH($B28,'HỌC VIÊN'!$A$4:$A$203,0)),""))</f>
        <v/>
      </c>
      <c r="D28" s="25" t="n"/>
      <c r="E28" s="25" t="n"/>
      <c r="F28" s="25" t="n"/>
      <c r="G28" s="35" t="n"/>
    </row>
    <row r="29">
      <c r="A29" s="35" t="n"/>
      <c r="B29" s="25" t="n"/>
      <c r="C29" s="25">
        <f>IF($B29="","",IFERROR(INDEX('HỌC VIÊN'!$B$4:$B$203,MATCH($B29,'HỌC VIÊN'!$A$4:$A$203,0)),""))</f>
        <v/>
      </c>
      <c r="D29" s="25" t="n"/>
      <c r="E29" s="25" t="n"/>
      <c r="F29" s="25" t="n"/>
      <c r="G29" s="35" t="n"/>
    </row>
    <row r="30">
      <c r="A30" s="35" t="n"/>
      <c r="B30" s="25" t="n"/>
      <c r="C30" s="25">
        <f>IF($B30="","",IFERROR(INDEX('HỌC VIÊN'!$B$4:$B$203,MATCH($B30,'HỌC VIÊN'!$A$4:$A$203,0)),""))</f>
        <v/>
      </c>
      <c r="D30" s="25" t="n"/>
      <c r="E30" s="25" t="n"/>
      <c r="F30" s="25" t="n"/>
      <c r="G30" s="35" t="n"/>
    </row>
    <row r="31">
      <c r="A31" s="35" t="n"/>
      <c r="B31" s="25" t="n"/>
      <c r="C31" s="25">
        <f>IF($B31="","",IFERROR(INDEX('HỌC VIÊN'!$B$4:$B$203,MATCH($B31,'HỌC VIÊN'!$A$4:$A$203,0)),""))</f>
        <v/>
      </c>
      <c r="D31" s="25" t="n"/>
      <c r="E31" s="25" t="n"/>
      <c r="F31" s="25" t="n"/>
      <c r="G31" s="35" t="n"/>
    </row>
    <row r="32">
      <c r="A32" s="35" t="n"/>
      <c r="B32" s="25" t="n"/>
      <c r="C32" s="25">
        <f>IF($B32="","",IFERROR(INDEX('HỌC VIÊN'!$B$4:$B$203,MATCH($B32,'HỌC VIÊN'!$A$4:$A$203,0)),""))</f>
        <v/>
      </c>
      <c r="D32" s="25" t="n"/>
      <c r="E32" s="25" t="n"/>
      <c r="F32" s="25" t="n"/>
      <c r="G32" s="35" t="n"/>
    </row>
    <row r="33">
      <c r="A33" s="35" t="n"/>
      <c r="B33" s="25" t="n"/>
      <c r="C33" s="25">
        <f>IF($B33="","",IFERROR(INDEX('HỌC VIÊN'!$B$4:$B$203,MATCH($B33,'HỌC VIÊN'!$A$4:$A$203,0)),""))</f>
        <v/>
      </c>
      <c r="D33" s="25" t="n"/>
      <c r="E33" s="25" t="n"/>
      <c r="F33" s="25" t="n"/>
      <c r="G33" s="35" t="n"/>
    </row>
    <row r="34">
      <c r="A34" s="35" t="n"/>
      <c r="B34" s="25" t="n"/>
      <c r="C34" s="25">
        <f>IF($B34="","",IFERROR(INDEX('HỌC VIÊN'!$B$4:$B$203,MATCH($B34,'HỌC VIÊN'!$A$4:$A$203,0)),""))</f>
        <v/>
      </c>
      <c r="D34" s="25" t="n"/>
      <c r="E34" s="25" t="n"/>
      <c r="F34" s="25" t="n"/>
      <c r="G34" s="35" t="n"/>
    </row>
    <row r="35">
      <c r="A35" s="35" t="n"/>
      <c r="B35" s="25" t="n"/>
      <c r="C35" s="25">
        <f>IF($B35="","",IFERROR(INDEX('HỌC VIÊN'!$B$4:$B$203,MATCH($B35,'HỌC VIÊN'!$A$4:$A$203,0)),""))</f>
        <v/>
      </c>
      <c r="D35" s="25" t="n"/>
      <c r="E35" s="25" t="n"/>
      <c r="F35" s="25" t="n"/>
      <c r="G35" s="35" t="n"/>
    </row>
    <row r="36">
      <c r="A36" s="35" t="n"/>
      <c r="B36" s="25" t="n"/>
      <c r="C36" s="25">
        <f>IF($B36="","",IFERROR(INDEX('HỌC VIÊN'!$B$4:$B$203,MATCH($B36,'HỌC VIÊN'!$A$4:$A$203,0)),""))</f>
        <v/>
      </c>
      <c r="D36" s="25" t="n"/>
      <c r="E36" s="25" t="n"/>
      <c r="F36" s="25" t="n"/>
      <c r="G36" s="35" t="n"/>
    </row>
    <row r="37">
      <c r="A37" s="35" t="n"/>
      <c r="B37" s="25" t="n"/>
      <c r="C37" s="25">
        <f>IF($B37="","",IFERROR(INDEX('HỌC VIÊN'!$B$4:$B$203,MATCH($B37,'HỌC VIÊN'!$A$4:$A$203,0)),""))</f>
        <v/>
      </c>
      <c r="D37" s="25" t="n"/>
      <c r="E37" s="25" t="n"/>
      <c r="F37" s="25" t="n"/>
      <c r="G37" s="35" t="n"/>
    </row>
    <row r="38">
      <c r="A38" s="35" t="n"/>
      <c r="B38" s="25" t="n"/>
      <c r="C38" s="25">
        <f>IF($B38="","",IFERROR(INDEX('HỌC VIÊN'!$B$4:$B$203,MATCH($B38,'HỌC VIÊN'!$A$4:$A$203,0)),""))</f>
        <v/>
      </c>
      <c r="D38" s="25" t="n"/>
      <c r="E38" s="25" t="n"/>
      <c r="F38" s="25" t="n"/>
      <c r="G38" s="35" t="n"/>
    </row>
    <row r="39">
      <c r="A39" s="35" t="n"/>
      <c r="B39" s="25" t="n"/>
      <c r="C39" s="25">
        <f>IF($B39="","",IFERROR(INDEX('HỌC VIÊN'!$B$4:$B$203,MATCH($B39,'HỌC VIÊN'!$A$4:$A$203,0)),""))</f>
        <v/>
      </c>
      <c r="D39" s="25" t="n"/>
      <c r="E39" s="25" t="n"/>
      <c r="F39" s="25" t="n"/>
      <c r="G39" s="35" t="n"/>
    </row>
    <row r="40">
      <c r="A40" s="35" t="n"/>
      <c r="B40" s="25" t="n"/>
      <c r="C40" s="25">
        <f>IF($B40="","",IFERROR(INDEX('HỌC VIÊN'!$B$4:$B$203,MATCH($B40,'HỌC VIÊN'!$A$4:$A$203,0)),""))</f>
        <v/>
      </c>
      <c r="D40" s="25" t="n"/>
      <c r="E40" s="25" t="n"/>
      <c r="F40" s="25" t="n"/>
      <c r="G40" s="35" t="n"/>
    </row>
    <row r="41">
      <c r="A41" s="35" t="n"/>
      <c r="B41" s="25" t="n"/>
      <c r="C41" s="25">
        <f>IF($B41="","",IFERROR(INDEX('HỌC VIÊN'!$B$4:$B$203,MATCH($B41,'HỌC VIÊN'!$A$4:$A$203,0)),""))</f>
        <v/>
      </c>
      <c r="D41" s="25" t="n"/>
      <c r="E41" s="25" t="n"/>
      <c r="F41" s="25" t="n"/>
      <c r="G41" s="35" t="n"/>
    </row>
    <row r="42">
      <c r="A42" s="35" t="n"/>
      <c r="B42" s="25" t="n"/>
      <c r="C42" s="25">
        <f>IF($B42="","",IFERROR(INDEX('HỌC VIÊN'!$B$4:$B$203,MATCH($B42,'HỌC VIÊN'!$A$4:$A$203,0)),""))</f>
        <v/>
      </c>
      <c r="D42" s="25" t="n"/>
      <c r="E42" s="25" t="n"/>
      <c r="F42" s="25" t="n"/>
      <c r="G42" s="35" t="n"/>
    </row>
    <row r="43">
      <c r="A43" s="35" t="n"/>
      <c r="B43" s="25" t="n"/>
      <c r="C43" s="25">
        <f>IF($B43="","",IFERROR(INDEX('HỌC VIÊN'!$B$4:$B$203,MATCH($B43,'HỌC VIÊN'!$A$4:$A$203,0)),""))</f>
        <v/>
      </c>
      <c r="D43" s="25" t="n"/>
      <c r="E43" s="25" t="n"/>
      <c r="F43" s="25" t="n"/>
      <c r="G43" s="35" t="n"/>
    </row>
    <row r="44">
      <c r="A44" s="35" t="n"/>
      <c r="B44" s="25" t="n"/>
      <c r="C44" s="25">
        <f>IF($B44="","",IFERROR(INDEX('HỌC VIÊN'!$B$4:$B$203,MATCH($B44,'HỌC VIÊN'!$A$4:$A$203,0)),""))</f>
        <v/>
      </c>
      <c r="D44" s="25" t="n"/>
      <c r="E44" s="25" t="n"/>
      <c r="F44" s="25" t="n"/>
      <c r="G44" s="35" t="n"/>
    </row>
    <row r="45">
      <c r="A45" s="35" t="n"/>
      <c r="B45" s="25" t="n"/>
      <c r="C45" s="25">
        <f>IF($B45="","",IFERROR(INDEX('HỌC VIÊN'!$B$4:$B$203,MATCH($B45,'HỌC VIÊN'!$A$4:$A$203,0)),""))</f>
        <v/>
      </c>
      <c r="D45" s="25" t="n"/>
      <c r="E45" s="25" t="n"/>
      <c r="F45" s="25" t="n"/>
      <c r="G45" s="35" t="n"/>
    </row>
    <row r="46">
      <c r="A46" s="35" t="n"/>
      <c r="B46" s="25" t="n"/>
      <c r="C46" s="25">
        <f>IF($B46="","",IFERROR(INDEX('HỌC VIÊN'!$B$4:$B$203,MATCH($B46,'HỌC VIÊN'!$A$4:$A$203,0)),""))</f>
        <v/>
      </c>
      <c r="D46" s="25" t="n"/>
      <c r="E46" s="25" t="n"/>
      <c r="F46" s="25" t="n"/>
      <c r="G46" s="35" t="n"/>
    </row>
    <row r="47">
      <c r="A47" s="35" t="n"/>
      <c r="B47" s="25" t="n"/>
      <c r="C47" s="25">
        <f>IF($B47="","",IFERROR(INDEX('HỌC VIÊN'!$B$4:$B$203,MATCH($B47,'HỌC VIÊN'!$A$4:$A$203,0)),""))</f>
        <v/>
      </c>
      <c r="D47" s="25" t="n"/>
      <c r="E47" s="25" t="n"/>
      <c r="F47" s="25" t="n"/>
      <c r="G47" s="35" t="n"/>
    </row>
    <row r="48">
      <c r="A48" s="35" t="n"/>
      <c r="B48" s="25" t="n"/>
      <c r="C48" s="25">
        <f>IF($B48="","",IFERROR(INDEX('HỌC VIÊN'!$B$4:$B$203,MATCH($B48,'HỌC VIÊN'!$A$4:$A$203,0)),""))</f>
        <v/>
      </c>
      <c r="D48" s="25" t="n"/>
      <c r="E48" s="25" t="n"/>
      <c r="F48" s="25" t="n"/>
      <c r="G48" s="35" t="n"/>
    </row>
    <row r="49">
      <c r="A49" s="35" t="n"/>
      <c r="B49" s="25" t="n"/>
      <c r="C49" s="25">
        <f>IF($B49="","",IFERROR(INDEX('HỌC VIÊN'!$B$4:$B$203,MATCH($B49,'HỌC VIÊN'!$A$4:$A$203,0)),""))</f>
        <v/>
      </c>
      <c r="D49" s="25" t="n"/>
      <c r="E49" s="25" t="n"/>
      <c r="F49" s="25" t="n"/>
      <c r="G49" s="35" t="n"/>
    </row>
    <row r="50">
      <c r="A50" s="35" t="n"/>
      <c r="B50" s="25" t="n"/>
      <c r="C50" s="25">
        <f>IF($B50="","",IFERROR(INDEX('HỌC VIÊN'!$B$4:$B$203,MATCH($B50,'HỌC VIÊN'!$A$4:$A$203,0)),""))</f>
        <v/>
      </c>
      <c r="D50" s="25" t="n"/>
      <c r="E50" s="25" t="n"/>
      <c r="F50" s="25" t="n"/>
      <c r="G50" s="35" t="n"/>
    </row>
    <row r="51">
      <c r="A51" s="35" t="n"/>
      <c r="B51" s="25" t="n"/>
      <c r="C51" s="25">
        <f>IF($B51="","",IFERROR(INDEX('HỌC VIÊN'!$B$4:$B$203,MATCH($B51,'HỌC VIÊN'!$A$4:$A$203,0)),""))</f>
        <v/>
      </c>
      <c r="D51" s="25" t="n"/>
      <c r="E51" s="25" t="n"/>
      <c r="F51" s="25" t="n"/>
      <c r="G51" s="35" t="n"/>
    </row>
    <row r="52">
      <c r="A52" s="35" t="n"/>
      <c r="B52" s="25" t="n"/>
      <c r="C52" s="25">
        <f>IF($B52="","",IFERROR(INDEX('HỌC VIÊN'!$B$4:$B$203,MATCH($B52,'HỌC VIÊN'!$A$4:$A$203,0)),""))</f>
        <v/>
      </c>
      <c r="D52" s="25" t="n"/>
      <c r="E52" s="25" t="n"/>
      <c r="F52" s="25" t="n"/>
      <c r="G52" s="35" t="n"/>
    </row>
    <row r="53">
      <c r="A53" s="35" t="n"/>
      <c r="B53" s="25" t="n"/>
      <c r="C53" s="25">
        <f>IF($B53="","",IFERROR(INDEX('HỌC VIÊN'!$B$4:$B$203,MATCH($B53,'HỌC VIÊN'!$A$4:$A$203,0)),""))</f>
        <v/>
      </c>
      <c r="D53" s="25" t="n"/>
      <c r="E53" s="25" t="n"/>
      <c r="F53" s="25" t="n"/>
      <c r="G53" s="35" t="n"/>
    </row>
    <row r="54">
      <c r="A54" s="35" t="n"/>
      <c r="B54" s="25" t="n"/>
      <c r="C54" s="25">
        <f>IF($B54="","",IFERROR(INDEX('HỌC VIÊN'!$B$4:$B$203,MATCH($B54,'HỌC VIÊN'!$A$4:$A$203,0)),""))</f>
        <v/>
      </c>
      <c r="D54" s="25" t="n"/>
      <c r="E54" s="25" t="n"/>
      <c r="F54" s="25" t="n"/>
      <c r="G54" s="35" t="n"/>
    </row>
    <row r="55">
      <c r="A55" s="35" t="n"/>
      <c r="B55" s="25" t="n"/>
      <c r="C55" s="25">
        <f>IF($B55="","",IFERROR(INDEX('HỌC VIÊN'!$B$4:$B$203,MATCH($B55,'HỌC VIÊN'!$A$4:$A$203,0)),""))</f>
        <v/>
      </c>
      <c r="D55" s="25" t="n"/>
      <c r="E55" s="25" t="n"/>
      <c r="F55" s="25" t="n"/>
      <c r="G55" s="35" t="n"/>
    </row>
    <row r="56">
      <c r="A56" s="35" t="n"/>
      <c r="B56" s="25" t="n"/>
      <c r="C56" s="25">
        <f>IF($B56="","",IFERROR(INDEX('HỌC VIÊN'!$B$4:$B$203,MATCH($B56,'HỌC VIÊN'!$A$4:$A$203,0)),""))</f>
        <v/>
      </c>
      <c r="D56" s="25" t="n"/>
      <c r="E56" s="25" t="n"/>
      <c r="F56" s="25" t="n"/>
      <c r="G56" s="35" t="n"/>
    </row>
    <row r="57">
      <c r="A57" s="35" t="n"/>
      <c r="B57" s="25" t="n"/>
      <c r="C57" s="25">
        <f>IF($B57="","",IFERROR(INDEX('HỌC VIÊN'!$B$4:$B$203,MATCH($B57,'HỌC VIÊN'!$A$4:$A$203,0)),""))</f>
        <v/>
      </c>
      <c r="D57" s="25" t="n"/>
      <c r="E57" s="25" t="n"/>
      <c r="F57" s="25" t="n"/>
      <c r="G57" s="35" t="n"/>
    </row>
    <row r="58">
      <c r="A58" s="35" t="n"/>
      <c r="B58" s="25" t="n"/>
      <c r="C58" s="25">
        <f>IF($B58="","",IFERROR(INDEX('HỌC VIÊN'!$B$4:$B$203,MATCH($B58,'HỌC VIÊN'!$A$4:$A$203,0)),""))</f>
        <v/>
      </c>
      <c r="D58" s="25" t="n"/>
      <c r="E58" s="25" t="n"/>
      <c r="F58" s="25" t="n"/>
      <c r="G58" s="35" t="n"/>
    </row>
    <row r="59">
      <c r="A59" s="35" t="n"/>
      <c r="B59" s="25" t="n"/>
      <c r="C59" s="25">
        <f>IF($B59="","",IFERROR(INDEX('HỌC VIÊN'!$B$4:$B$203,MATCH($B59,'HỌC VIÊN'!$A$4:$A$203,0)),""))</f>
        <v/>
      </c>
      <c r="D59" s="25" t="n"/>
      <c r="E59" s="25" t="n"/>
      <c r="F59" s="25" t="n"/>
      <c r="G59" s="35" t="n"/>
    </row>
    <row r="60">
      <c r="A60" s="35" t="n"/>
      <c r="B60" s="25" t="n"/>
      <c r="C60" s="25">
        <f>IF($B60="","",IFERROR(INDEX('HỌC VIÊN'!$B$4:$B$203,MATCH($B60,'HỌC VIÊN'!$A$4:$A$203,0)),""))</f>
        <v/>
      </c>
      <c r="D60" s="25" t="n"/>
      <c r="E60" s="25" t="n"/>
      <c r="F60" s="25" t="n"/>
      <c r="G60" s="35" t="n"/>
    </row>
    <row r="61">
      <c r="A61" s="35" t="n"/>
      <c r="B61" s="25" t="n"/>
      <c r="C61" s="25">
        <f>IF($B61="","",IFERROR(INDEX('HỌC VIÊN'!$B$4:$B$203,MATCH($B61,'HỌC VIÊN'!$A$4:$A$203,0)),""))</f>
        <v/>
      </c>
      <c r="D61" s="25" t="n"/>
      <c r="E61" s="25" t="n"/>
      <c r="F61" s="25" t="n"/>
      <c r="G61" s="35" t="n"/>
    </row>
    <row r="62">
      <c r="A62" s="35" t="n"/>
      <c r="B62" s="25" t="n"/>
      <c r="C62" s="25">
        <f>IF($B62="","",IFERROR(INDEX('HỌC VIÊN'!$B$4:$B$203,MATCH($B62,'HỌC VIÊN'!$A$4:$A$203,0)),""))</f>
        <v/>
      </c>
      <c r="D62" s="25" t="n"/>
      <c r="E62" s="25" t="n"/>
      <c r="F62" s="25" t="n"/>
      <c r="G62" s="35" t="n"/>
    </row>
    <row r="63">
      <c r="A63" s="35" t="n"/>
      <c r="B63" s="25" t="n"/>
      <c r="C63" s="25">
        <f>IF($B63="","",IFERROR(INDEX('HỌC VIÊN'!$B$4:$B$203,MATCH($B63,'HỌC VIÊN'!$A$4:$A$203,0)),""))</f>
        <v/>
      </c>
      <c r="D63" s="25" t="n"/>
      <c r="E63" s="25" t="n"/>
      <c r="F63" s="25" t="n"/>
      <c r="G63" s="35" t="n"/>
    </row>
    <row r="64">
      <c r="A64" s="35" t="n"/>
      <c r="B64" s="25" t="n"/>
      <c r="C64" s="25">
        <f>IF($B64="","",IFERROR(INDEX('HỌC VIÊN'!$B$4:$B$203,MATCH($B64,'HỌC VIÊN'!$A$4:$A$203,0)),""))</f>
        <v/>
      </c>
      <c r="D64" s="25" t="n"/>
      <c r="E64" s="25" t="n"/>
      <c r="F64" s="25" t="n"/>
      <c r="G64" s="35" t="n"/>
    </row>
    <row r="65">
      <c r="A65" s="35" t="n"/>
      <c r="B65" s="25" t="n"/>
      <c r="C65" s="25">
        <f>IF($B65="","",IFERROR(INDEX('HỌC VIÊN'!$B$4:$B$203,MATCH($B65,'HỌC VIÊN'!$A$4:$A$203,0)),""))</f>
        <v/>
      </c>
      <c r="D65" s="25" t="n"/>
      <c r="E65" s="25" t="n"/>
      <c r="F65" s="25" t="n"/>
      <c r="G65" s="35" t="n"/>
    </row>
    <row r="66">
      <c r="A66" s="35" t="n"/>
      <c r="B66" s="25" t="n"/>
      <c r="C66" s="25">
        <f>IF($B66="","",IFERROR(INDEX('HỌC VIÊN'!$B$4:$B$203,MATCH($B66,'HỌC VIÊN'!$A$4:$A$203,0)),""))</f>
        <v/>
      </c>
      <c r="D66" s="25" t="n"/>
      <c r="E66" s="25" t="n"/>
      <c r="F66" s="25" t="n"/>
      <c r="G66" s="35" t="n"/>
    </row>
    <row r="67">
      <c r="A67" s="35" t="n"/>
      <c r="B67" s="25" t="n"/>
      <c r="C67" s="25">
        <f>IF($B67="","",IFERROR(INDEX('HỌC VIÊN'!$B$4:$B$203,MATCH($B67,'HỌC VIÊN'!$A$4:$A$203,0)),""))</f>
        <v/>
      </c>
      <c r="D67" s="25" t="n"/>
      <c r="E67" s="25" t="n"/>
      <c r="F67" s="25" t="n"/>
      <c r="G67" s="35" t="n"/>
    </row>
    <row r="68">
      <c r="A68" s="35" t="n"/>
      <c r="B68" s="25" t="n"/>
      <c r="C68" s="25">
        <f>IF($B68="","",IFERROR(INDEX('HỌC VIÊN'!$B$4:$B$203,MATCH($B68,'HỌC VIÊN'!$A$4:$A$203,0)),""))</f>
        <v/>
      </c>
      <c r="D68" s="25" t="n"/>
      <c r="E68" s="25" t="n"/>
      <c r="F68" s="25" t="n"/>
      <c r="G68" s="35" t="n"/>
    </row>
    <row r="69">
      <c r="A69" s="35" t="n"/>
      <c r="B69" s="25" t="n"/>
      <c r="C69" s="25">
        <f>IF($B69="","",IFERROR(INDEX('HỌC VIÊN'!$B$4:$B$203,MATCH($B69,'HỌC VIÊN'!$A$4:$A$203,0)),""))</f>
        <v/>
      </c>
      <c r="D69" s="25" t="n"/>
      <c r="E69" s="25" t="n"/>
      <c r="F69" s="25" t="n"/>
      <c r="G69" s="35" t="n"/>
    </row>
    <row r="70">
      <c r="A70" s="35" t="n"/>
      <c r="B70" s="25" t="n"/>
      <c r="C70" s="25">
        <f>IF($B70="","",IFERROR(INDEX('HỌC VIÊN'!$B$4:$B$203,MATCH($B70,'HỌC VIÊN'!$A$4:$A$203,0)),""))</f>
        <v/>
      </c>
      <c r="D70" s="25" t="n"/>
      <c r="E70" s="25" t="n"/>
      <c r="F70" s="25" t="n"/>
      <c r="G70" s="35" t="n"/>
    </row>
    <row r="71">
      <c r="A71" s="35" t="n"/>
      <c r="B71" s="25" t="n"/>
      <c r="C71" s="25">
        <f>IF($B71="","",IFERROR(INDEX('HỌC VIÊN'!$B$4:$B$203,MATCH($B71,'HỌC VIÊN'!$A$4:$A$203,0)),""))</f>
        <v/>
      </c>
      <c r="D71" s="25" t="n"/>
      <c r="E71" s="25" t="n"/>
      <c r="F71" s="25" t="n"/>
      <c r="G71" s="35" t="n"/>
    </row>
    <row r="72">
      <c r="A72" s="35" t="n"/>
      <c r="B72" s="25" t="n"/>
      <c r="C72" s="25">
        <f>IF($B72="","",IFERROR(INDEX('HỌC VIÊN'!$B$4:$B$203,MATCH($B72,'HỌC VIÊN'!$A$4:$A$203,0)),""))</f>
        <v/>
      </c>
      <c r="D72" s="25" t="n"/>
      <c r="E72" s="25" t="n"/>
      <c r="F72" s="25" t="n"/>
      <c r="G72" s="35" t="n"/>
    </row>
    <row r="73">
      <c r="A73" s="35" t="n"/>
      <c r="B73" s="25" t="n"/>
      <c r="C73" s="25">
        <f>IF($B73="","",IFERROR(INDEX('HỌC VIÊN'!$B$4:$B$203,MATCH($B73,'HỌC VIÊN'!$A$4:$A$203,0)),""))</f>
        <v/>
      </c>
      <c r="D73" s="25" t="n"/>
      <c r="E73" s="25" t="n"/>
      <c r="F73" s="25" t="n"/>
      <c r="G73" s="35" t="n"/>
    </row>
    <row r="74">
      <c r="A74" s="35" t="n"/>
      <c r="B74" s="25" t="n"/>
      <c r="C74" s="25">
        <f>IF($B74="","",IFERROR(INDEX('HỌC VIÊN'!$B$4:$B$203,MATCH($B74,'HỌC VIÊN'!$A$4:$A$203,0)),""))</f>
        <v/>
      </c>
      <c r="D74" s="25" t="n"/>
      <c r="E74" s="25" t="n"/>
      <c r="F74" s="25" t="n"/>
      <c r="G74" s="35" t="n"/>
    </row>
    <row r="75">
      <c r="A75" s="35" t="n"/>
      <c r="B75" s="25" t="n"/>
      <c r="C75" s="25">
        <f>IF($B75="","",IFERROR(INDEX('HỌC VIÊN'!$B$4:$B$203,MATCH($B75,'HỌC VIÊN'!$A$4:$A$203,0)),""))</f>
        <v/>
      </c>
      <c r="D75" s="25" t="n"/>
      <c r="E75" s="25" t="n"/>
      <c r="F75" s="25" t="n"/>
      <c r="G75" s="35" t="n"/>
    </row>
    <row r="76">
      <c r="A76" s="35" t="n"/>
      <c r="B76" s="25" t="n"/>
      <c r="C76" s="25">
        <f>IF($B76="","",IFERROR(INDEX('HỌC VIÊN'!$B$4:$B$203,MATCH($B76,'HỌC VIÊN'!$A$4:$A$203,0)),""))</f>
        <v/>
      </c>
      <c r="D76" s="25" t="n"/>
      <c r="E76" s="25" t="n"/>
      <c r="F76" s="25" t="n"/>
      <c r="G76" s="35" t="n"/>
    </row>
    <row r="77">
      <c r="A77" s="35" t="n"/>
      <c r="B77" s="25" t="n"/>
      <c r="C77" s="25">
        <f>IF($B77="","",IFERROR(INDEX('HỌC VIÊN'!$B$4:$B$203,MATCH($B77,'HỌC VIÊN'!$A$4:$A$203,0)),""))</f>
        <v/>
      </c>
      <c r="D77" s="25" t="n"/>
      <c r="E77" s="25" t="n"/>
      <c r="F77" s="25" t="n"/>
      <c r="G77" s="35" t="n"/>
    </row>
    <row r="78">
      <c r="A78" s="35" t="n"/>
      <c r="B78" s="25" t="n"/>
      <c r="C78" s="25">
        <f>IF($B78="","",IFERROR(INDEX('HỌC VIÊN'!$B$4:$B$203,MATCH($B78,'HỌC VIÊN'!$A$4:$A$203,0)),""))</f>
        <v/>
      </c>
      <c r="D78" s="25" t="n"/>
      <c r="E78" s="25" t="n"/>
      <c r="F78" s="25" t="n"/>
      <c r="G78" s="35" t="n"/>
    </row>
    <row r="79">
      <c r="A79" s="35" t="n"/>
      <c r="B79" s="25" t="n"/>
      <c r="C79" s="25">
        <f>IF($B79="","",IFERROR(INDEX('HỌC VIÊN'!$B$4:$B$203,MATCH($B79,'HỌC VIÊN'!$A$4:$A$203,0)),""))</f>
        <v/>
      </c>
      <c r="D79" s="25" t="n"/>
      <c r="E79" s="25" t="n"/>
      <c r="F79" s="25" t="n"/>
      <c r="G79" s="35" t="n"/>
    </row>
    <row r="80">
      <c r="A80" s="35" t="n"/>
      <c r="B80" s="25" t="n"/>
      <c r="C80" s="25">
        <f>IF($B80="","",IFERROR(INDEX('HỌC VIÊN'!$B$4:$B$203,MATCH($B80,'HỌC VIÊN'!$A$4:$A$203,0)),""))</f>
        <v/>
      </c>
      <c r="D80" s="25" t="n"/>
      <c r="E80" s="25" t="n"/>
      <c r="F80" s="25" t="n"/>
      <c r="G80" s="35" t="n"/>
    </row>
    <row r="81">
      <c r="A81" s="35" t="n"/>
      <c r="B81" s="25" t="n"/>
      <c r="C81" s="25">
        <f>IF($B81="","",IFERROR(INDEX('HỌC VIÊN'!$B$4:$B$203,MATCH($B81,'HỌC VIÊN'!$A$4:$A$203,0)),""))</f>
        <v/>
      </c>
      <c r="D81" s="25" t="n"/>
      <c r="E81" s="25" t="n"/>
      <c r="F81" s="25" t="n"/>
      <c r="G81" s="35" t="n"/>
    </row>
    <row r="82">
      <c r="A82" s="35" t="n"/>
      <c r="B82" s="25" t="n"/>
      <c r="C82" s="25">
        <f>IF($B82="","",IFERROR(INDEX('HỌC VIÊN'!$B$4:$B$203,MATCH($B82,'HỌC VIÊN'!$A$4:$A$203,0)),""))</f>
        <v/>
      </c>
      <c r="D82" s="25" t="n"/>
      <c r="E82" s="25" t="n"/>
      <c r="F82" s="25" t="n"/>
      <c r="G82" s="35" t="n"/>
    </row>
    <row r="83">
      <c r="A83" s="35" t="n"/>
      <c r="B83" s="25" t="n"/>
      <c r="C83" s="25">
        <f>IF($B83="","",IFERROR(INDEX('HỌC VIÊN'!$B$4:$B$203,MATCH($B83,'HỌC VIÊN'!$A$4:$A$203,0)),""))</f>
        <v/>
      </c>
      <c r="D83" s="25" t="n"/>
      <c r="E83" s="25" t="n"/>
      <c r="F83" s="25" t="n"/>
      <c r="G83" s="35" t="n"/>
    </row>
    <row r="84">
      <c r="A84" s="35" t="n"/>
      <c r="B84" s="25" t="n"/>
      <c r="C84" s="25">
        <f>IF($B84="","",IFERROR(INDEX('HỌC VIÊN'!$B$4:$B$203,MATCH($B84,'HỌC VIÊN'!$A$4:$A$203,0)),""))</f>
        <v/>
      </c>
      <c r="D84" s="25" t="n"/>
      <c r="E84" s="25" t="n"/>
      <c r="F84" s="25" t="n"/>
      <c r="G84" s="35" t="n"/>
    </row>
    <row r="85">
      <c r="A85" s="35" t="n"/>
      <c r="B85" s="25" t="n"/>
      <c r="C85" s="25">
        <f>IF($B85="","",IFERROR(INDEX('HỌC VIÊN'!$B$4:$B$203,MATCH($B85,'HỌC VIÊN'!$A$4:$A$203,0)),""))</f>
        <v/>
      </c>
      <c r="D85" s="25" t="n"/>
      <c r="E85" s="25" t="n"/>
      <c r="F85" s="25" t="n"/>
      <c r="G85" s="35" t="n"/>
    </row>
    <row r="86">
      <c r="A86" s="35" t="n"/>
      <c r="B86" s="25" t="n"/>
      <c r="C86" s="25">
        <f>IF($B86="","",IFERROR(INDEX('HỌC VIÊN'!$B$4:$B$203,MATCH($B86,'HỌC VIÊN'!$A$4:$A$203,0)),""))</f>
        <v/>
      </c>
      <c r="D86" s="25" t="n"/>
      <c r="E86" s="25" t="n"/>
      <c r="F86" s="25" t="n"/>
      <c r="G86" s="35" t="n"/>
    </row>
    <row r="87">
      <c r="A87" s="35" t="n"/>
      <c r="B87" s="25" t="n"/>
      <c r="C87" s="25">
        <f>IF($B87="","",IFERROR(INDEX('HỌC VIÊN'!$B$4:$B$203,MATCH($B87,'HỌC VIÊN'!$A$4:$A$203,0)),""))</f>
        <v/>
      </c>
      <c r="D87" s="25" t="n"/>
      <c r="E87" s="25" t="n"/>
      <c r="F87" s="25" t="n"/>
      <c r="G87" s="35" t="n"/>
    </row>
    <row r="88">
      <c r="A88" s="35" t="n"/>
      <c r="B88" s="25" t="n"/>
      <c r="C88" s="25">
        <f>IF($B88="","",IFERROR(INDEX('HỌC VIÊN'!$B$4:$B$203,MATCH($B88,'HỌC VIÊN'!$A$4:$A$203,0)),""))</f>
        <v/>
      </c>
      <c r="D88" s="25" t="n"/>
      <c r="E88" s="25" t="n"/>
      <c r="F88" s="25" t="n"/>
      <c r="G88" s="35" t="n"/>
    </row>
    <row r="89">
      <c r="A89" s="35" t="n"/>
      <c r="B89" s="25" t="n"/>
      <c r="C89" s="25">
        <f>IF($B89="","",IFERROR(INDEX('HỌC VIÊN'!$B$4:$B$203,MATCH($B89,'HỌC VIÊN'!$A$4:$A$203,0)),""))</f>
        <v/>
      </c>
      <c r="D89" s="25" t="n"/>
      <c r="E89" s="25" t="n"/>
      <c r="F89" s="25" t="n"/>
      <c r="G89" s="35" t="n"/>
    </row>
    <row r="90">
      <c r="A90" s="35" t="n"/>
      <c r="B90" s="25" t="n"/>
      <c r="C90" s="25">
        <f>IF($B90="","",IFERROR(INDEX('HỌC VIÊN'!$B$4:$B$203,MATCH($B90,'HỌC VIÊN'!$A$4:$A$203,0)),""))</f>
        <v/>
      </c>
      <c r="D90" s="25" t="n"/>
      <c r="E90" s="25" t="n"/>
      <c r="F90" s="25" t="n"/>
      <c r="G90" s="35" t="n"/>
    </row>
    <row r="91">
      <c r="A91" s="35" t="n"/>
      <c r="B91" s="25" t="n"/>
      <c r="C91" s="25">
        <f>IF($B91="","",IFERROR(INDEX('HỌC VIÊN'!$B$4:$B$203,MATCH($B91,'HỌC VIÊN'!$A$4:$A$203,0)),""))</f>
        <v/>
      </c>
      <c r="D91" s="25" t="n"/>
      <c r="E91" s="25" t="n"/>
      <c r="F91" s="25" t="n"/>
      <c r="G91" s="35" t="n"/>
    </row>
    <row r="92">
      <c r="A92" s="35" t="n"/>
      <c r="B92" s="25" t="n"/>
      <c r="C92" s="25">
        <f>IF($B92="","",IFERROR(INDEX('HỌC VIÊN'!$B$4:$B$203,MATCH($B92,'HỌC VIÊN'!$A$4:$A$203,0)),""))</f>
        <v/>
      </c>
      <c r="D92" s="25" t="n"/>
      <c r="E92" s="25" t="n"/>
      <c r="F92" s="25" t="n"/>
      <c r="G92" s="35" t="n"/>
    </row>
    <row r="93">
      <c r="A93" s="35" t="n"/>
      <c r="B93" s="25" t="n"/>
      <c r="C93" s="25">
        <f>IF($B93="","",IFERROR(INDEX('HỌC VIÊN'!$B$4:$B$203,MATCH($B93,'HỌC VIÊN'!$A$4:$A$203,0)),""))</f>
        <v/>
      </c>
      <c r="D93" s="25" t="n"/>
      <c r="E93" s="25" t="n"/>
      <c r="F93" s="25" t="n"/>
      <c r="G93" s="35" t="n"/>
    </row>
    <row r="94">
      <c r="A94" s="35" t="n"/>
      <c r="B94" s="25" t="n"/>
      <c r="C94" s="25">
        <f>IF($B94="","",IFERROR(INDEX('HỌC VIÊN'!$B$4:$B$203,MATCH($B94,'HỌC VIÊN'!$A$4:$A$203,0)),""))</f>
        <v/>
      </c>
      <c r="D94" s="25" t="n"/>
      <c r="E94" s="25" t="n"/>
      <c r="F94" s="25" t="n"/>
      <c r="G94" s="35" t="n"/>
    </row>
    <row r="95">
      <c r="A95" s="35" t="n"/>
      <c r="B95" s="25" t="n"/>
      <c r="C95" s="25">
        <f>IF($B95="","",IFERROR(INDEX('HỌC VIÊN'!$B$4:$B$203,MATCH($B95,'HỌC VIÊN'!$A$4:$A$203,0)),""))</f>
        <v/>
      </c>
      <c r="D95" s="25" t="n"/>
      <c r="E95" s="25" t="n"/>
      <c r="F95" s="25" t="n"/>
      <c r="G95" s="35" t="n"/>
    </row>
    <row r="96">
      <c r="A96" s="35" t="n"/>
      <c r="B96" s="25" t="n"/>
      <c r="C96" s="25">
        <f>IF($B96="","",IFERROR(INDEX('HỌC VIÊN'!$B$4:$B$203,MATCH($B96,'HỌC VIÊN'!$A$4:$A$203,0)),""))</f>
        <v/>
      </c>
      <c r="D96" s="25" t="n"/>
      <c r="E96" s="25" t="n"/>
      <c r="F96" s="25" t="n"/>
      <c r="G96" s="35" t="n"/>
    </row>
    <row r="97">
      <c r="A97" s="35" t="n"/>
      <c r="B97" s="25" t="n"/>
      <c r="C97" s="25">
        <f>IF($B97="","",IFERROR(INDEX('HỌC VIÊN'!$B$4:$B$203,MATCH($B97,'HỌC VIÊN'!$A$4:$A$203,0)),""))</f>
        <v/>
      </c>
      <c r="D97" s="25" t="n"/>
      <c r="E97" s="25" t="n"/>
      <c r="F97" s="25" t="n"/>
      <c r="G97" s="35" t="n"/>
    </row>
    <row r="98">
      <c r="A98" s="35" t="n"/>
      <c r="B98" s="25" t="n"/>
      <c r="C98" s="25">
        <f>IF($B98="","",IFERROR(INDEX('HỌC VIÊN'!$B$4:$B$203,MATCH($B98,'HỌC VIÊN'!$A$4:$A$203,0)),""))</f>
        <v/>
      </c>
      <c r="D98" s="25" t="n"/>
      <c r="E98" s="25" t="n"/>
      <c r="F98" s="25" t="n"/>
      <c r="G98" s="35" t="n"/>
    </row>
    <row r="99">
      <c r="A99" s="35" t="n"/>
      <c r="B99" s="25" t="n"/>
      <c r="C99" s="25">
        <f>IF($B99="","",IFERROR(INDEX('HỌC VIÊN'!$B$4:$B$203,MATCH($B99,'HỌC VIÊN'!$A$4:$A$203,0)),""))</f>
        <v/>
      </c>
      <c r="D99" s="25" t="n"/>
      <c r="E99" s="25" t="n"/>
      <c r="F99" s="25" t="n"/>
      <c r="G99" s="35" t="n"/>
    </row>
    <row r="100">
      <c r="A100" s="35" t="n"/>
      <c r="B100" s="25" t="n"/>
      <c r="C100" s="25">
        <f>IF($B100="","",IFERROR(INDEX('HỌC VIÊN'!$B$4:$B$203,MATCH($B100,'HỌC VIÊN'!$A$4:$A$203,0)),""))</f>
        <v/>
      </c>
      <c r="D100" s="25" t="n"/>
      <c r="E100" s="25" t="n"/>
      <c r="F100" s="25" t="n"/>
      <c r="G100" s="35" t="n"/>
    </row>
    <row r="101">
      <c r="A101" s="35" t="n"/>
      <c r="B101" s="25" t="n"/>
      <c r="C101" s="25">
        <f>IF($B101="","",IFERROR(INDEX('HỌC VIÊN'!$B$4:$B$203,MATCH($B101,'HỌC VIÊN'!$A$4:$A$203,0)),""))</f>
        <v/>
      </c>
      <c r="D101" s="25" t="n"/>
      <c r="E101" s="25" t="n"/>
      <c r="F101" s="25" t="n"/>
      <c r="G101" s="35" t="n"/>
    </row>
    <row r="102">
      <c r="A102" s="35" t="n"/>
      <c r="B102" s="25" t="n"/>
      <c r="C102" s="25">
        <f>IF($B102="","",IFERROR(INDEX('HỌC VIÊN'!$B$4:$B$203,MATCH($B102,'HỌC VIÊN'!$A$4:$A$203,0)),""))</f>
        <v/>
      </c>
      <c r="D102" s="25" t="n"/>
      <c r="E102" s="25" t="n"/>
      <c r="F102" s="25" t="n"/>
      <c r="G102" s="35" t="n"/>
    </row>
    <row r="103">
      <c r="A103" s="35" t="n"/>
      <c r="B103" s="25" t="n"/>
      <c r="C103" s="25">
        <f>IF($B103="","",IFERROR(INDEX('HỌC VIÊN'!$B$4:$B$203,MATCH($B103,'HỌC VIÊN'!$A$4:$A$203,0)),""))</f>
        <v/>
      </c>
      <c r="D103" s="25" t="n"/>
      <c r="E103" s="25" t="n"/>
      <c r="F103" s="25" t="n"/>
      <c r="G103" s="35" t="n"/>
    </row>
    <row r="104">
      <c r="A104" s="35" t="n"/>
      <c r="B104" s="25" t="n"/>
      <c r="C104" s="25">
        <f>IF($B104="","",IFERROR(INDEX('HỌC VIÊN'!$B$4:$B$203,MATCH($B104,'HỌC VIÊN'!$A$4:$A$203,0)),""))</f>
        <v/>
      </c>
      <c r="D104" s="25" t="n"/>
      <c r="E104" s="25" t="n"/>
      <c r="F104" s="25" t="n"/>
      <c r="G104" s="35" t="n"/>
    </row>
    <row r="105">
      <c r="A105" s="35" t="n"/>
      <c r="B105" s="25" t="n"/>
      <c r="C105" s="25">
        <f>IF($B105="","",IFERROR(INDEX('HỌC VIÊN'!$B$4:$B$203,MATCH($B105,'HỌC VIÊN'!$A$4:$A$203,0)),""))</f>
        <v/>
      </c>
      <c r="D105" s="25" t="n"/>
      <c r="E105" s="25" t="n"/>
      <c r="F105" s="25" t="n"/>
      <c r="G105" s="35" t="n"/>
    </row>
    <row r="106">
      <c r="A106" s="35" t="n"/>
      <c r="B106" s="25" t="n"/>
      <c r="C106" s="25">
        <f>IF($B106="","",IFERROR(INDEX('HỌC VIÊN'!$B$4:$B$203,MATCH($B106,'HỌC VIÊN'!$A$4:$A$203,0)),""))</f>
        <v/>
      </c>
      <c r="D106" s="25" t="n"/>
      <c r="E106" s="25" t="n"/>
      <c r="F106" s="25" t="n"/>
      <c r="G106" s="35" t="n"/>
    </row>
    <row r="107">
      <c r="A107" s="35" t="n"/>
      <c r="B107" s="25" t="n"/>
      <c r="C107" s="25">
        <f>IF($B107="","",IFERROR(INDEX('HỌC VIÊN'!$B$4:$B$203,MATCH($B107,'HỌC VIÊN'!$A$4:$A$203,0)),""))</f>
        <v/>
      </c>
      <c r="D107" s="25" t="n"/>
      <c r="E107" s="25" t="n"/>
      <c r="F107" s="25" t="n"/>
      <c r="G107" s="35" t="n"/>
    </row>
    <row r="108">
      <c r="A108" s="35" t="n"/>
      <c r="B108" s="25" t="n"/>
      <c r="C108" s="25">
        <f>IF($B108="","",IFERROR(INDEX('HỌC VIÊN'!$B$4:$B$203,MATCH($B108,'HỌC VIÊN'!$A$4:$A$203,0)),""))</f>
        <v/>
      </c>
      <c r="D108" s="25" t="n"/>
      <c r="E108" s="25" t="n"/>
      <c r="F108" s="25" t="n"/>
      <c r="G108" s="35" t="n"/>
    </row>
    <row r="109">
      <c r="A109" s="35" t="n"/>
      <c r="B109" s="25" t="n"/>
      <c r="C109" s="25">
        <f>IF($B109="","",IFERROR(INDEX('HỌC VIÊN'!$B$4:$B$203,MATCH($B109,'HỌC VIÊN'!$A$4:$A$203,0)),""))</f>
        <v/>
      </c>
      <c r="D109" s="25" t="n"/>
      <c r="E109" s="25" t="n"/>
      <c r="F109" s="25" t="n"/>
      <c r="G109" s="35" t="n"/>
    </row>
    <row r="110">
      <c r="A110" s="35" t="n"/>
      <c r="B110" s="25" t="n"/>
      <c r="C110" s="25">
        <f>IF($B110="","",IFERROR(INDEX('HỌC VIÊN'!$B$4:$B$203,MATCH($B110,'HỌC VIÊN'!$A$4:$A$203,0)),""))</f>
        <v/>
      </c>
      <c r="D110" s="25" t="n"/>
      <c r="E110" s="25" t="n"/>
      <c r="F110" s="25" t="n"/>
      <c r="G110" s="35" t="n"/>
    </row>
    <row r="111">
      <c r="A111" s="35" t="n"/>
      <c r="B111" s="25" t="n"/>
      <c r="C111" s="25">
        <f>IF($B111="","",IFERROR(INDEX('HỌC VIÊN'!$B$4:$B$203,MATCH($B111,'HỌC VIÊN'!$A$4:$A$203,0)),""))</f>
        <v/>
      </c>
      <c r="D111" s="25" t="n"/>
      <c r="E111" s="25" t="n"/>
      <c r="F111" s="25" t="n"/>
      <c r="G111" s="35" t="n"/>
    </row>
    <row r="112">
      <c r="A112" s="35" t="n"/>
      <c r="B112" s="25" t="n"/>
      <c r="C112" s="25">
        <f>IF($B112="","",IFERROR(INDEX('HỌC VIÊN'!$B$4:$B$203,MATCH($B112,'HỌC VIÊN'!$A$4:$A$203,0)),""))</f>
        <v/>
      </c>
      <c r="D112" s="25" t="n"/>
      <c r="E112" s="25" t="n"/>
      <c r="F112" s="25" t="n"/>
      <c r="G112" s="35" t="n"/>
    </row>
    <row r="113">
      <c r="A113" s="35" t="n"/>
      <c r="B113" s="25" t="n"/>
      <c r="C113" s="25">
        <f>IF($B113="","",IFERROR(INDEX('HỌC VIÊN'!$B$4:$B$203,MATCH($B113,'HỌC VIÊN'!$A$4:$A$203,0)),""))</f>
        <v/>
      </c>
      <c r="D113" s="25" t="n"/>
      <c r="E113" s="25" t="n"/>
      <c r="F113" s="25" t="n"/>
      <c r="G113" s="35" t="n"/>
    </row>
    <row r="114">
      <c r="A114" s="35" t="n"/>
      <c r="B114" s="25" t="n"/>
      <c r="C114" s="25">
        <f>IF($B114="","",IFERROR(INDEX('HỌC VIÊN'!$B$4:$B$203,MATCH($B114,'HỌC VIÊN'!$A$4:$A$203,0)),""))</f>
        <v/>
      </c>
      <c r="D114" s="25" t="n"/>
      <c r="E114" s="25" t="n"/>
      <c r="F114" s="25" t="n"/>
      <c r="G114" s="35" t="n"/>
    </row>
    <row r="115">
      <c r="A115" s="35" t="n"/>
      <c r="B115" s="25" t="n"/>
      <c r="C115" s="25">
        <f>IF($B115="","",IFERROR(INDEX('HỌC VIÊN'!$B$4:$B$203,MATCH($B115,'HỌC VIÊN'!$A$4:$A$203,0)),""))</f>
        <v/>
      </c>
      <c r="D115" s="25" t="n"/>
      <c r="E115" s="25" t="n"/>
      <c r="F115" s="25" t="n"/>
      <c r="G115" s="35" t="n"/>
    </row>
    <row r="116">
      <c r="A116" s="35" t="n"/>
      <c r="B116" s="25" t="n"/>
      <c r="C116" s="25">
        <f>IF($B116="","",IFERROR(INDEX('HỌC VIÊN'!$B$4:$B$203,MATCH($B116,'HỌC VIÊN'!$A$4:$A$203,0)),""))</f>
        <v/>
      </c>
      <c r="D116" s="25" t="n"/>
      <c r="E116" s="25" t="n"/>
      <c r="F116" s="25" t="n"/>
      <c r="G116" s="35" t="n"/>
    </row>
    <row r="117">
      <c r="A117" s="35" t="n"/>
      <c r="B117" s="25" t="n"/>
      <c r="C117" s="25">
        <f>IF($B117="","",IFERROR(INDEX('HỌC VIÊN'!$B$4:$B$203,MATCH($B117,'HỌC VIÊN'!$A$4:$A$203,0)),""))</f>
        <v/>
      </c>
      <c r="D117" s="25" t="n"/>
      <c r="E117" s="25" t="n"/>
      <c r="F117" s="25" t="n"/>
      <c r="G117" s="35" t="n"/>
    </row>
    <row r="118">
      <c r="A118" s="35" t="n"/>
      <c r="B118" s="25" t="n"/>
      <c r="C118" s="25">
        <f>IF($B118="","",IFERROR(INDEX('HỌC VIÊN'!$B$4:$B$203,MATCH($B118,'HỌC VIÊN'!$A$4:$A$203,0)),""))</f>
        <v/>
      </c>
      <c r="D118" s="25" t="n"/>
      <c r="E118" s="25" t="n"/>
      <c r="F118" s="25" t="n"/>
      <c r="G118" s="35" t="n"/>
    </row>
    <row r="119">
      <c r="A119" s="35" t="n"/>
      <c r="B119" s="25" t="n"/>
      <c r="C119" s="25">
        <f>IF($B119="","",IFERROR(INDEX('HỌC VIÊN'!$B$4:$B$203,MATCH($B119,'HỌC VIÊN'!$A$4:$A$203,0)),""))</f>
        <v/>
      </c>
      <c r="D119" s="25" t="n"/>
      <c r="E119" s="25" t="n"/>
      <c r="F119" s="25" t="n"/>
      <c r="G119" s="35" t="n"/>
    </row>
    <row r="120">
      <c r="A120" s="35" t="n"/>
      <c r="B120" s="25" t="n"/>
      <c r="C120" s="25">
        <f>IF($B120="","",IFERROR(INDEX('HỌC VIÊN'!$B$4:$B$203,MATCH($B120,'HỌC VIÊN'!$A$4:$A$203,0)),""))</f>
        <v/>
      </c>
      <c r="D120" s="25" t="n"/>
      <c r="E120" s="25" t="n"/>
      <c r="F120" s="25" t="n"/>
      <c r="G120" s="35" t="n"/>
    </row>
    <row r="121">
      <c r="A121" s="35" t="n"/>
      <c r="B121" s="25" t="n"/>
      <c r="C121" s="25">
        <f>IF($B121="","",IFERROR(INDEX('HỌC VIÊN'!$B$4:$B$203,MATCH($B121,'HỌC VIÊN'!$A$4:$A$203,0)),""))</f>
        <v/>
      </c>
      <c r="D121" s="25" t="n"/>
      <c r="E121" s="25" t="n"/>
      <c r="F121" s="25" t="n"/>
      <c r="G121" s="35" t="n"/>
    </row>
    <row r="122">
      <c r="A122" s="35" t="n"/>
      <c r="B122" s="25" t="n"/>
      <c r="C122" s="25">
        <f>IF($B122="","",IFERROR(INDEX('HỌC VIÊN'!$B$4:$B$203,MATCH($B122,'HỌC VIÊN'!$A$4:$A$203,0)),""))</f>
        <v/>
      </c>
      <c r="D122" s="25" t="n"/>
      <c r="E122" s="25" t="n"/>
      <c r="F122" s="25" t="n"/>
      <c r="G122" s="35" t="n"/>
    </row>
    <row r="123">
      <c r="A123" s="35" t="n"/>
      <c r="B123" s="25" t="n"/>
      <c r="C123" s="25">
        <f>IF($B123="","",IFERROR(INDEX('HỌC VIÊN'!$B$4:$B$203,MATCH($B123,'HỌC VIÊN'!$A$4:$A$203,0)),""))</f>
        <v/>
      </c>
      <c r="D123" s="25" t="n"/>
      <c r="E123" s="25" t="n"/>
      <c r="F123" s="25" t="n"/>
      <c r="G123" s="35" t="n"/>
    </row>
    <row r="124">
      <c r="A124" s="35" t="n"/>
      <c r="B124" s="25" t="n"/>
      <c r="C124" s="25">
        <f>IF($B124="","",IFERROR(INDEX('HỌC VIÊN'!$B$4:$B$203,MATCH($B124,'HỌC VIÊN'!$A$4:$A$203,0)),""))</f>
        <v/>
      </c>
      <c r="D124" s="25" t="n"/>
      <c r="E124" s="25" t="n"/>
      <c r="F124" s="25" t="n"/>
      <c r="G124" s="35" t="n"/>
    </row>
    <row r="125">
      <c r="A125" s="35" t="n"/>
      <c r="B125" s="25" t="n"/>
      <c r="C125" s="25">
        <f>IF($B125="","",IFERROR(INDEX('HỌC VIÊN'!$B$4:$B$203,MATCH($B125,'HỌC VIÊN'!$A$4:$A$203,0)),""))</f>
        <v/>
      </c>
      <c r="D125" s="25" t="n"/>
      <c r="E125" s="25" t="n"/>
      <c r="F125" s="25" t="n"/>
      <c r="G125" s="35" t="n"/>
    </row>
    <row r="126">
      <c r="A126" s="35" t="n"/>
      <c r="B126" s="25" t="n"/>
      <c r="C126" s="25">
        <f>IF($B126="","",IFERROR(INDEX('HỌC VIÊN'!$B$4:$B$203,MATCH($B126,'HỌC VIÊN'!$A$4:$A$203,0)),""))</f>
        <v/>
      </c>
      <c r="D126" s="25" t="n"/>
      <c r="E126" s="25" t="n"/>
      <c r="F126" s="25" t="n"/>
      <c r="G126" s="35" t="n"/>
    </row>
    <row r="127">
      <c r="A127" s="35" t="n"/>
      <c r="B127" s="25" t="n"/>
      <c r="C127" s="25">
        <f>IF($B127="","",IFERROR(INDEX('HỌC VIÊN'!$B$4:$B$203,MATCH($B127,'HỌC VIÊN'!$A$4:$A$203,0)),""))</f>
        <v/>
      </c>
      <c r="D127" s="25" t="n"/>
      <c r="E127" s="25" t="n"/>
      <c r="F127" s="25" t="n"/>
      <c r="G127" s="35" t="n"/>
    </row>
    <row r="128">
      <c r="A128" s="35" t="n"/>
      <c r="B128" s="25" t="n"/>
      <c r="C128" s="25">
        <f>IF($B128="","",IFERROR(INDEX('HỌC VIÊN'!$B$4:$B$203,MATCH($B128,'HỌC VIÊN'!$A$4:$A$203,0)),""))</f>
        <v/>
      </c>
      <c r="D128" s="25" t="n"/>
      <c r="E128" s="25" t="n"/>
      <c r="F128" s="25" t="n"/>
      <c r="G128" s="35" t="n"/>
    </row>
    <row r="129">
      <c r="A129" s="35" t="n"/>
      <c r="B129" s="25" t="n"/>
      <c r="C129" s="25">
        <f>IF($B129="","",IFERROR(INDEX('HỌC VIÊN'!$B$4:$B$203,MATCH($B129,'HỌC VIÊN'!$A$4:$A$203,0)),""))</f>
        <v/>
      </c>
      <c r="D129" s="25" t="n"/>
      <c r="E129" s="25" t="n"/>
      <c r="F129" s="25" t="n"/>
      <c r="G129" s="35" t="n"/>
    </row>
    <row r="130">
      <c r="A130" s="35" t="n"/>
      <c r="B130" s="25" t="n"/>
      <c r="C130" s="25">
        <f>IF($B130="","",IFERROR(INDEX('HỌC VIÊN'!$B$4:$B$203,MATCH($B130,'HỌC VIÊN'!$A$4:$A$203,0)),""))</f>
        <v/>
      </c>
      <c r="D130" s="25" t="n"/>
      <c r="E130" s="25" t="n"/>
      <c r="F130" s="25" t="n"/>
      <c r="G130" s="35" t="n"/>
    </row>
    <row r="131">
      <c r="A131" s="35" t="n"/>
      <c r="B131" s="25" t="n"/>
      <c r="C131" s="25">
        <f>IF($B131="","",IFERROR(INDEX('HỌC VIÊN'!$B$4:$B$203,MATCH($B131,'HỌC VIÊN'!$A$4:$A$203,0)),""))</f>
        <v/>
      </c>
      <c r="D131" s="25" t="n"/>
      <c r="E131" s="25" t="n"/>
      <c r="F131" s="25" t="n"/>
      <c r="G131" s="35" t="n"/>
    </row>
    <row r="132">
      <c r="A132" s="35" t="n"/>
      <c r="B132" s="25" t="n"/>
      <c r="C132" s="25">
        <f>IF($B132="","",IFERROR(INDEX('HỌC VIÊN'!$B$4:$B$203,MATCH($B132,'HỌC VIÊN'!$A$4:$A$203,0)),""))</f>
        <v/>
      </c>
      <c r="D132" s="25" t="n"/>
      <c r="E132" s="25" t="n"/>
      <c r="F132" s="25" t="n"/>
      <c r="G132" s="35" t="n"/>
    </row>
    <row r="133">
      <c r="A133" s="35" t="n"/>
      <c r="B133" s="25" t="n"/>
      <c r="C133" s="25">
        <f>IF($B133="","",IFERROR(INDEX('HỌC VIÊN'!$B$4:$B$203,MATCH($B133,'HỌC VIÊN'!$A$4:$A$203,0)),""))</f>
        <v/>
      </c>
      <c r="D133" s="25" t="n"/>
      <c r="E133" s="25" t="n"/>
      <c r="F133" s="25" t="n"/>
      <c r="G133" s="35" t="n"/>
    </row>
    <row r="134">
      <c r="A134" s="35" t="n"/>
      <c r="B134" s="25" t="n"/>
      <c r="C134" s="25">
        <f>IF($B134="","",IFERROR(INDEX('HỌC VIÊN'!$B$4:$B$203,MATCH($B134,'HỌC VIÊN'!$A$4:$A$203,0)),""))</f>
        <v/>
      </c>
      <c r="D134" s="25" t="n"/>
      <c r="E134" s="25" t="n"/>
      <c r="F134" s="25" t="n"/>
      <c r="G134" s="35" t="n"/>
    </row>
    <row r="135">
      <c r="A135" s="35" t="n"/>
      <c r="B135" s="25" t="n"/>
      <c r="C135" s="25">
        <f>IF($B135="","",IFERROR(INDEX('HỌC VIÊN'!$B$4:$B$203,MATCH($B135,'HỌC VIÊN'!$A$4:$A$203,0)),""))</f>
        <v/>
      </c>
      <c r="D135" s="25" t="n"/>
      <c r="E135" s="25" t="n"/>
      <c r="F135" s="25" t="n"/>
      <c r="G135" s="35" t="n"/>
    </row>
    <row r="136">
      <c r="A136" s="35" t="n"/>
      <c r="B136" s="25" t="n"/>
      <c r="C136" s="25">
        <f>IF($B136="","",IFERROR(INDEX('HỌC VIÊN'!$B$4:$B$203,MATCH($B136,'HỌC VIÊN'!$A$4:$A$203,0)),""))</f>
        <v/>
      </c>
      <c r="D136" s="25" t="n"/>
      <c r="E136" s="25" t="n"/>
      <c r="F136" s="25" t="n"/>
      <c r="G136" s="35" t="n"/>
    </row>
    <row r="137">
      <c r="A137" s="35" t="n"/>
      <c r="B137" s="25" t="n"/>
      <c r="C137" s="25">
        <f>IF($B137="","",IFERROR(INDEX('HỌC VIÊN'!$B$4:$B$203,MATCH($B137,'HỌC VIÊN'!$A$4:$A$203,0)),""))</f>
        <v/>
      </c>
      <c r="D137" s="25" t="n"/>
      <c r="E137" s="25" t="n"/>
      <c r="F137" s="25" t="n"/>
      <c r="G137" s="35" t="n"/>
    </row>
    <row r="138">
      <c r="A138" s="35" t="n"/>
      <c r="B138" s="25" t="n"/>
      <c r="C138" s="25">
        <f>IF($B138="","",IFERROR(INDEX('HỌC VIÊN'!$B$4:$B$203,MATCH($B138,'HỌC VIÊN'!$A$4:$A$203,0)),""))</f>
        <v/>
      </c>
      <c r="D138" s="25" t="n"/>
      <c r="E138" s="25" t="n"/>
      <c r="F138" s="25" t="n"/>
      <c r="G138" s="35" t="n"/>
    </row>
    <row r="139">
      <c r="A139" s="35" t="n"/>
      <c r="B139" s="25" t="n"/>
      <c r="C139" s="25">
        <f>IF($B139="","",IFERROR(INDEX('HỌC VIÊN'!$B$4:$B$203,MATCH($B139,'HỌC VIÊN'!$A$4:$A$203,0)),""))</f>
        <v/>
      </c>
      <c r="D139" s="25" t="n"/>
      <c r="E139" s="25" t="n"/>
      <c r="F139" s="25" t="n"/>
      <c r="G139" s="35" t="n"/>
    </row>
    <row r="140">
      <c r="A140" s="35" t="n"/>
      <c r="B140" s="25" t="n"/>
      <c r="C140" s="25">
        <f>IF($B140="","",IFERROR(INDEX('HỌC VIÊN'!$B$4:$B$203,MATCH($B140,'HỌC VIÊN'!$A$4:$A$203,0)),""))</f>
        <v/>
      </c>
      <c r="D140" s="25" t="n"/>
      <c r="E140" s="25" t="n"/>
      <c r="F140" s="25" t="n"/>
      <c r="G140" s="35" t="n"/>
    </row>
    <row r="141">
      <c r="A141" s="35" t="n"/>
      <c r="B141" s="25" t="n"/>
      <c r="C141" s="25">
        <f>IF($B141="","",IFERROR(INDEX('HỌC VIÊN'!$B$4:$B$203,MATCH($B141,'HỌC VIÊN'!$A$4:$A$203,0)),""))</f>
        <v/>
      </c>
      <c r="D141" s="25" t="n"/>
      <c r="E141" s="25" t="n"/>
      <c r="F141" s="25" t="n"/>
      <c r="G141" s="35" t="n"/>
    </row>
    <row r="142">
      <c r="A142" s="35" t="n"/>
      <c r="B142" s="25" t="n"/>
      <c r="C142" s="25">
        <f>IF($B142="","",IFERROR(INDEX('HỌC VIÊN'!$B$4:$B$203,MATCH($B142,'HỌC VIÊN'!$A$4:$A$203,0)),""))</f>
        <v/>
      </c>
      <c r="D142" s="25" t="n"/>
      <c r="E142" s="25" t="n"/>
      <c r="F142" s="25" t="n"/>
      <c r="G142" s="35" t="n"/>
    </row>
    <row r="143">
      <c r="A143" s="35" t="n"/>
      <c r="B143" s="25" t="n"/>
      <c r="C143" s="25">
        <f>IF($B143="","",IFERROR(INDEX('HỌC VIÊN'!$B$4:$B$203,MATCH($B143,'HỌC VIÊN'!$A$4:$A$203,0)),""))</f>
        <v/>
      </c>
      <c r="D143" s="25" t="n"/>
      <c r="E143" s="25" t="n"/>
      <c r="F143" s="25" t="n"/>
      <c r="G143" s="35" t="n"/>
    </row>
    <row r="144">
      <c r="A144" s="35" t="n"/>
      <c r="B144" s="25" t="n"/>
      <c r="C144" s="25">
        <f>IF($B144="","",IFERROR(INDEX('HỌC VIÊN'!$B$4:$B$203,MATCH($B144,'HỌC VIÊN'!$A$4:$A$203,0)),""))</f>
        <v/>
      </c>
      <c r="D144" s="25" t="n"/>
      <c r="E144" s="25" t="n"/>
      <c r="F144" s="25" t="n"/>
      <c r="G144" s="35" t="n"/>
    </row>
    <row r="145">
      <c r="A145" s="35" t="n"/>
      <c r="B145" s="25" t="n"/>
      <c r="C145" s="25">
        <f>IF($B145="","",IFERROR(INDEX('HỌC VIÊN'!$B$4:$B$203,MATCH($B145,'HỌC VIÊN'!$A$4:$A$203,0)),""))</f>
        <v/>
      </c>
      <c r="D145" s="25" t="n"/>
      <c r="E145" s="25" t="n"/>
      <c r="F145" s="25" t="n"/>
      <c r="G145" s="35" t="n"/>
    </row>
    <row r="146">
      <c r="A146" s="35" t="n"/>
      <c r="B146" s="25" t="n"/>
      <c r="C146" s="25">
        <f>IF($B146="","",IFERROR(INDEX('HỌC VIÊN'!$B$4:$B$203,MATCH($B146,'HỌC VIÊN'!$A$4:$A$203,0)),""))</f>
        <v/>
      </c>
      <c r="D146" s="25" t="n"/>
      <c r="E146" s="25" t="n"/>
      <c r="F146" s="25" t="n"/>
      <c r="G146" s="35" t="n"/>
    </row>
    <row r="147">
      <c r="A147" s="35" t="n"/>
      <c r="B147" s="25" t="n"/>
      <c r="C147" s="25">
        <f>IF($B147="","",IFERROR(INDEX('HỌC VIÊN'!$B$4:$B$203,MATCH($B147,'HỌC VIÊN'!$A$4:$A$203,0)),""))</f>
        <v/>
      </c>
      <c r="D147" s="25" t="n"/>
      <c r="E147" s="25" t="n"/>
      <c r="F147" s="25" t="n"/>
      <c r="G147" s="35" t="n"/>
    </row>
    <row r="148">
      <c r="A148" s="35" t="n"/>
      <c r="B148" s="25" t="n"/>
      <c r="C148" s="25">
        <f>IF($B148="","",IFERROR(INDEX('HỌC VIÊN'!$B$4:$B$203,MATCH($B148,'HỌC VIÊN'!$A$4:$A$203,0)),""))</f>
        <v/>
      </c>
      <c r="D148" s="25" t="n"/>
      <c r="E148" s="25" t="n"/>
      <c r="F148" s="25" t="n"/>
      <c r="G148" s="35" t="n"/>
    </row>
    <row r="149">
      <c r="A149" s="35" t="n"/>
      <c r="B149" s="25" t="n"/>
      <c r="C149" s="25">
        <f>IF($B149="","",IFERROR(INDEX('HỌC VIÊN'!$B$4:$B$203,MATCH($B149,'HỌC VIÊN'!$A$4:$A$203,0)),""))</f>
        <v/>
      </c>
      <c r="D149" s="25" t="n"/>
      <c r="E149" s="25" t="n"/>
      <c r="F149" s="25" t="n"/>
      <c r="G149" s="35" t="n"/>
    </row>
    <row r="150">
      <c r="A150" s="35" t="n"/>
      <c r="B150" s="25" t="n"/>
      <c r="C150" s="25">
        <f>IF($B150="","",IFERROR(INDEX('HỌC VIÊN'!$B$4:$B$203,MATCH($B150,'HỌC VIÊN'!$A$4:$A$203,0)),""))</f>
        <v/>
      </c>
      <c r="D150" s="25" t="n"/>
      <c r="E150" s="25" t="n"/>
      <c r="F150" s="25" t="n"/>
      <c r="G150" s="35" t="n"/>
    </row>
    <row r="151">
      <c r="A151" s="35" t="n"/>
      <c r="B151" s="25" t="n"/>
      <c r="C151" s="25">
        <f>IF($B151="","",IFERROR(INDEX('HỌC VIÊN'!$B$4:$B$203,MATCH($B151,'HỌC VIÊN'!$A$4:$A$203,0)),""))</f>
        <v/>
      </c>
      <c r="D151" s="25" t="n"/>
      <c r="E151" s="25" t="n"/>
      <c r="F151" s="25" t="n"/>
      <c r="G151" s="35" t="n"/>
    </row>
    <row r="152">
      <c r="A152" s="35" t="n"/>
      <c r="B152" s="25" t="n"/>
      <c r="C152" s="25">
        <f>IF($B152="","",IFERROR(INDEX('HỌC VIÊN'!$B$4:$B$203,MATCH($B152,'HỌC VIÊN'!$A$4:$A$203,0)),""))</f>
        <v/>
      </c>
      <c r="D152" s="25" t="n"/>
      <c r="E152" s="25" t="n"/>
      <c r="F152" s="25" t="n"/>
      <c r="G152" s="35" t="n"/>
    </row>
    <row r="153">
      <c r="A153" s="35" t="n"/>
      <c r="B153" s="25" t="n"/>
      <c r="C153" s="25">
        <f>IF($B153="","",IFERROR(INDEX('HỌC VIÊN'!$B$4:$B$203,MATCH($B153,'HỌC VIÊN'!$A$4:$A$203,0)),""))</f>
        <v/>
      </c>
      <c r="D153" s="25" t="n"/>
      <c r="E153" s="25" t="n"/>
      <c r="F153" s="25" t="n"/>
      <c r="G153" s="35" t="n"/>
    </row>
    <row r="154">
      <c r="A154" s="35" t="n"/>
      <c r="B154" s="25" t="n"/>
      <c r="C154" s="25">
        <f>IF($B154="","",IFERROR(INDEX('HỌC VIÊN'!$B$4:$B$203,MATCH($B154,'HỌC VIÊN'!$A$4:$A$203,0)),""))</f>
        <v/>
      </c>
      <c r="D154" s="25" t="n"/>
      <c r="E154" s="25" t="n"/>
      <c r="F154" s="25" t="n"/>
      <c r="G154" s="35" t="n"/>
    </row>
    <row r="155">
      <c r="A155" s="35" t="n"/>
      <c r="B155" s="25" t="n"/>
      <c r="C155" s="25">
        <f>IF($B155="","",IFERROR(INDEX('HỌC VIÊN'!$B$4:$B$203,MATCH($B155,'HỌC VIÊN'!$A$4:$A$203,0)),""))</f>
        <v/>
      </c>
      <c r="D155" s="25" t="n"/>
      <c r="E155" s="25" t="n"/>
      <c r="F155" s="25" t="n"/>
      <c r="G155" s="35" t="n"/>
    </row>
    <row r="156">
      <c r="A156" s="35" t="n"/>
      <c r="B156" s="25" t="n"/>
      <c r="C156" s="25">
        <f>IF($B156="","",IFERROR(INDEX('HỌC VIÊN'!$B$4:$B$203,MATCH($B156,'HỌC VIÊN'!$A$4:$A$203,0)),""))</f>
        <v/>
      </c>
      <c r="D156" s="25" t="n"/>
      <c r="E156" s="25" t="n"/>
      <c r="F156" s="25" t="n"/>
      <c r="G156" s="35" t="n"/>
    </row>
    <row r="157">
      <c r="A157" s="35" t="n"/>
      <c r="B157" s="25" t="n"/>
      <c r="C157" s="25">
        <f>IF($B157="","",IFERROR(INDEX('HỌC VIÊN'!$B$4:$B$203,MATCH($B157,'HỌC VIÊN'!$A$4:$A$203,0)),""))</f>
        <v/>
      </c>
      <c r="D157" s="25" t="n"/>
      <c r="E157" s="25" t="n"/>
      <c r="F157" s="25" t="n"/>
      <c r="G157" s="35" t="n"/>
    </row>
    <row r="158">
      <c r="A158" s="35" t="n"/>
      <c r="B158" s="25" t="n"/>
      <c r="C158" s="25">
        <f>IF($B158="","",IFERROR(INDEX('HỌC VIÊN'!$B$4:$B$203,MATCH($B158,'HỌC VIÊN'!$A$4:$A$203,0)),""))</f>
        <v/>
      </c>
      <c r="D158" s="25" t="n"/>
      <c r="E158" s="25" t="n"/>
      <c r="F158" s="25" t="n"/>
      <c r="G158" s="35" t="n"/>
    </row>
    <row r="159">
      <c r="A159" s="35" t="n"/>
      <c r="B159" s="25" t="n"/>
      <c r="C159" s="25">
        <f>IF($B159="","",IFERROR(INDEX('HỌC VIÊN'!$B$4:$B$203,MATCH($B159,'HỌC VIÊN'!$A$4:$A$203,0)),""))</f>
        <v/>
      </c>
      <c r="D159" s="25" t="n"/>
      <c r="E159" s="25" t="n"/>
      <c r="F159" s="25" t="n"/>
      <c r="G159" s="35" t="n"/>
    </row>
    <row r="160">
      <c r="A160" s="35" t="n"/>
      <c r="B160" s="25" t="n"/>
      <c r="C160" s="25">
        <f>IF($B160="","",IFERROR(INDEX('HỌC VIÊN'!$B$4:$B$203,MATCH($B160,'HỌC VIÊN'!$A$4:$A$203,0)),""))</f>
        <v/>
      </c>
      <c r="D160" s="25" t="n"/>
      <c r="E160" s="25" t="n"/>
      <c r="F160" s="25" t="n"/>
      <c r="G160" s="35" t="n"/>
    </row>
    <row r="161">
      <c r="A161" s="35" t="n"/>
      <c r="B161" s="25" t="n"/>
      <c r="C161" s="25">
        <f>IF($B161="","",IFERROR(INDEX('HỌC VIÊN'!$B$4:$B$203,MATCH($B161,'HỌC VIÊN'!$A$4:$A$203,0)),""))</f>
        <v/>
      </c>
      <c r="D161" s="25" t="n"/>
      <c r="E161" s="25" t="n"/>
      <c r="F161" s="25" t="n"/>
      <c r="G161" s="35" t="n"/>
    </row>
    <row r="162">
      <c r="A162" s="35" t="n"/>
      <c r="B162" s="25" t="n"/>
      <c r="C162" s="25">
        <f>IF($B162="","",IFERROR(INDEX('HỌC VIÊN'!$B$4:$B$203,MATCH($B162,'HỌC VIÊN'!$A$4:$A$203,0)),""))</f>
        <v/>
      </c>
      <c r="D162" s="25" t="n"/>
      <c r="E162" s="25" t="n"/>
      <c r="F162" s="25" t="n"/>
      <c r="G162" s="35" t="n"/>
    </row>
    <row r="163">
      <c r="A163" s="35" t="n"/>
      <c r="B163" s="25" t="n"/>
      <c r="C163" s="25">
        <f>IF($B163="","",IFERROR(INDEX('HỌC VIÊN'!$B$4:$B$203,MATCH($B163,'HỌC VIÊN'!$A$4:$A$203,0)),""))</f>
        <v/>
      </c>
      <c r="D163" s="25" t="n"/>
      <c r="E163" s="25" t="n"/>
      <c r="F163" s="25" t="n"/>
      <c r="G163" s="35" t="n"/>
    </row>
    <row r="164">
      <c r="A164" s="35" t="n"/>
      <c r="B164" s="25" t="n"/>
      <c r="C164" s="25">
        <f>IF($B164="","",IFERROR(INDEX('HỌC VIÊN'!$B$4:$B$203,MATCH($B164,'HỌC VIÊN'!$A$4:$A$203,0)),""))</f>
        <v/>
      </c>
      <c r="D164" s="25" t="n"/>
      <c r="E164" s="25" t="n"/>
      <c r="F164" s="25" t="n"/>
      <c r="G164" s="35" t="n"/>
    </row>
    <row r="165">
      <c r="A165" s="35" t="n"/>
      <c r="B165" s="25" t="n"/>
      <c r="C165" s="25">
        <f>IF($B165="","",IFERROR(INDEX('HỌC VIÊN'!$B$4:$B$203,MATCH($B165,'HỌC VIÊN'!$A$4:$A$203,0)),""))</f>
        <v/>
      </c>
      <c r="D165" s="25" t="n"/>
      <c r="E165" s="25" t="n"/>
      <c r="F165" s="25" t="n"/>
      <c r="G165" s="35" t="n"/>
    </row>
    <row r="166">
      <c r="A166" s="35" t="n"/>
      <c r="B166" s="25" t="n"/>
      <c r="C166" s="25">
        <f>IF($B166="","",IFERROR(INDEX('HỌC VIÊN'!$B$4:$B$203,MATCH($B166,'HỌC VIÊN'!$A$4:$A$203,0)),""))</f>
        <v/>
      </c>
      <c r="D166" s="25" t="n"/>
      <c r="E166" s="25" t="n"/>
      <c r="F166" s="25" t="n"/>
      <c r="G166" s="35" t="n"/>
    </row>
    <row r="167">
      <c r="A167" s="35" t="n"/>
      <c r="B167" s="25" t="n"/>
      <c r="C167" s="25">
        <f>IF($B167="","",IFERROR(INDEX('HỌC VIÊN'!$B$4:$B$203,MATCH($B167,'HỌC VIÊN'!$A$4:$A$203,0)),""))</f>
        <v/>
      </c>
      <c r="D167" s="25" t="n"/>
      <c r="E167" s="25" t="n"/>
      <c r="F167" s="25" t="n"/>
      <c r="G167" s="35" t="n"/>
    </row>
    <row r="168">
      <c r="A168" s="35" t="n"/>
      <c r="B168" s="25" t="n"/>
      <c r="C168" s="25">
        <f>IF($B168="","",IFERROR(INDEX('HỌC VIÊN'!$B$4:$B$203,MATCH($B168,'HỌC VIÊN'!$A$4:$A$203,0)),""))</f>
        <v/>
      </c>
      <c r="D168" s="25" t="n"/>
      <c r="E168" s="25" t="n"/>
      <c r="F168" s="25" t="n"/>
      <c r="G168" s="35" t="n"/>
    </row>
    <row r="169">
      <c r="A169" s="35" t="n"/>
      <c r="B169" s="25" t="n"/>
      <c r="C169" s="25">
        <f>IF($B169="","",IFERROR(INDEX('HỌC VIÊN'!$B$4:$B$203,MATCH($B169,'HỌC VIÊN'!$A$4:$A$203,0)),""))</f>
        <v/>
      </c>
      <c r="D169" s="25" t="n"/>
      <c r="E169" s="25" t="n"/>
      <c r="F169" s="25" t="n"/>
      <c r="G169" s="35" t="n"/>
    </row>
    <row r="170">
      <c r="A170" s="35" t="n"/>
      <c r="B170" s="25" t="n"/>
      <c r="C170" s="25">
        <f>IF($B170="","",IFERROR(INDEX('HỌC VIÊN'!$B$4:$B$203,MATCH($B170,'HỌC VIÊN'!$A$4:$A$203,0)),""))</f>
        <v/>
      </c>
      <c r="D170" s="25" t="n"/>
      <c r="E170" s="25" t="n"/>
      <c r="F170" s="25" t="n"/>
      <c r="G170" s="35" t="n"/>
    </row>
    <row r="171">
      <c r="A171" s="35" t="n"/>
      <c r="B171" s="25" t="n"/>
      <c r="C171" s="25">
        <f>IF($B171="","",IFERROR(INDEX('HỌC VIÊN'!$B$4:$B$203,MATCH($B171,'HỌC VIÊN'!$A$4:$A$203,0)),""))</f>
        <v/>
      </c>
      <c r="D171" s="25" t="n"/>
      <c r="E171" s="25" t="n"/>
      <c r="F171" s="25" t="n"/>
      <c r="G171" s="35" t="n"/>
    </row>
    <row r="172">
      <c r="A172" s="35" t="n"/>
      <c r="B172" s="25" t="n"/>
      <c r="C172" s="25">
        <f>IF($B172="","",IFERROR(INDEX('HỌC VIÊN'!$B$4:$B$203,MATCH($B172,'HỌC VIÊN'!$A$4:$A$203,0)),""))</f>
        <v/>
      </c>
      <c r="D172" s="25" t="n"/>
      <c r="E172" s="25" t="n"/>
      <c r="F172" s="25" t="n"/>
      <c r="G172" s="35" t="n"/>
    </row>
    <row r="173">
      <c r="A173" s="35" t="n"/>
      <c r="B173" s="25" t="n"/>
      <c r="C173" s="25">
        <f>IF($B173="","",IFERROR(INDEX('HỌC VIÊN'!$B$4:$B$203,MATCH($B173,'HỌC VIÊN'!$A$4:$A$203,0)),""))</f>
        <v/>
      </c>
      <c r="D173" s="25" t="n"/>
      <c r="E173" s="25" t="n"/>
      <c r="F173" s="25" t="n"/>
      <c r="G173" s="35" t="n"/>
    </row>
    <row r="174">
      <c r="A174" s="35" t="n"/>
      <c r="B174" s="25" t="n"/>
      <c r="C174" s="25">
        <f>IF($B174="","",IFERROR(INDEX('HỌC VIÊN'!$B$4:$B$203,MATCH($B174,'HỌC VIÊN'!$A$4:$A$203,0)),""))</f>
        <v/>
      </c>
      <c r="D174" s="25" t="n"/>
      <c r="E174" s="25" t="n"/>
      <c r="F174" s="25" t="n"/>
      <c r="G174" s="35" t="n"/>
    </row>
    <row r="175">
      <c r="A175" s="35" t="n"/>
      <c r="B175" s="25" t="n"/>
      <c r="C175" s="25">
        <f>IF($B175="","",IFERROR(INDEX('HỌC VIÊN'!$B$4:$B$203,MATCH($B175,'HỌC VIÊN'!$A$4:$A$203,0)),""))</f>
        <v/>
      </c>
      <c r="D175" s="25" t="n"/>
      <c r="E175" s="25" t="n"/>
      <c r="F175" s="25" t="n"/>
      <c r="G175" s="35" t="n"/>
    </row>
    <row r="176">
      <c r="A176" s="35" t="n"/>
      <c r="B176" s="25" t="n"/>
      <c r="C176" s="25">
        <f>IF($B176="","",IFERROR(INDEX('HỌC VIÊN'!$B$4:$B$203,MATCH($B176,'HỌC VIÊN'!$A$4:$A$203,0)),""))</f>
        <v/>
      </c>
      <c r="D176" s="25" t="n"/>
      <c r="E176" s="25" t="n"/>
      <c r="F176" s="25" t="n"/>
      <c r="G176" s="35" t="n"/>
    </row>
    <row r="177">
      <c r="A177" s="35" t="n"/>
      <c r="B177" s="25" t="n"/>
      <c r="C177" s="25">
        <f>IF($B177="","",IFERROR(INDEX('HỌC VIÊN'!$B$4:$B$203,MATCH($B177,'HỌC VIÊN'!$A$4:$A$203,0)),""))</f>
        <v/>
      </c>
      <c r="D177" s="25" t="n"/>
      <c r="E177" s="25" t="n"/>
      <c r="F177" s="25" t="n"/>
      <c r="G177" s="35" t="n"/>
    </row>
    <row r="178">
      <c r="A178" s="35" t="n"/>
      <c r="B178" s="25" t="n"/>
      <c r="C178" s="25">
        <f>IF($B178="","",IFERROR(INDEX('HỌC VIÊN'!$B$4:$B$203,MATCH($B178,'HỌC VIÊN'!$A$4:$A$203,0)),""))</f>
        <v/>
      </c>
      <c r="D178" s="25" t="n"/>
      <c r="E178" s="25" t="n"/>
      <c r="F178" s="25" t="n"/>
      <c r="G178" s="35" t="n"/>
    </row>
    <row r="179">
      <c r="A179" s="35" t="n"/>
      <c r="B179" s="25" t="n"/>
      <c r="C179" s="25">
        <f>IF($B179="","",IFERROR(INDEX('HỌC VIÊN'!$B$4:$B$203,MATCH($B179,'HỌC VIÊN'!$A$4:$A$203,0)),""))</f>
        <v/>
      </c>
      <c r="D179" s="25" t="n"/>
      <c r="E179" s="25" t="n"/>
      <c r="F179" s="25" t="n"/>
      <c r="G179" s="35" t="n"/>
    </row>
    <row r="180">
      <c r="A180" s="35" t="n"/>
      <c r="B180" s="25" t="n"/>
      <c r="C180" s="25">
        <f>IF($B180="","",IFERROR(INDEX('HỌC VIÊN'!$B$4:$B$203,MATCH($B180,'HỌC VIÊN'!$A$4:$A$203,0)),""))</f>
        <v/>
      </c>
      <c r="D180" s="25" t="n"/>
      <c r="E180" s="25" t="n"/>
      <c r="F180" s="25" t="n"/>
      <c r="G180" s="35" t="n"/>
    </row>
    <row r="181">
      <c r="A181" s="35" t="n"/>
      <c r="B181" s="25" t="n"/>
      <c r="C181" s="25">
        <f>IF($B181="","",IFERROR(INDEX('HỌC VIÊN'!$B$4:$B$203,MATCH($B181,'HỌC VIÊN'!$A$4:$A$203,0)),""))</f>
        <v/>
      </c>
      <c r="D181" s="25" t="n"/>
      <c r="E181" s="25" t="n"/>
      <c r="F181" s="25" t="n"/>
      <c r="G181" s="35" t="n"/>
    </row>
    <row r="182">
      <c r="A182" s="35" t="n"/>
      <c r="B182" s="25" t="n"/>
      <c r="C182" s="25">
        <f>IF($B182="","",IFERROR(INDEX('HỌC VIÊN'!$B$4:$B$203,MATCH($B182,'HỌC VIÊN'!$A$4:$A$203,0)),""))</f>
        <v/>
      </c>
      <c r="D182" s="25" t="n"/>
      <c r="E182" s="25" t="n"/>
      <c r="F182" s="25" t="n"/>
      <c r="G182" s="35" t="n"/>
    </row>
    <row r="183">
      <c r="A183" s="35" t="n"/>
      <c r="B183" s="25" t="n"/>
      <c r="C183" s="25">
        <f>IF($B183="","",IFERROR(INDEX('HỌC VIÊN'!$B$4:$B$203,MATCH($B183,'HỌC VIÊN'!$A$4:$A$203,0)),""))</f>
        <v/>
      </c>
      <c r="D183" s="25" t="n"/>
      <c r="E183" s="25" t="n"/>
      <c r="F183" s="25" t="n"/>
      <c r="G183" s="35" t="n"/>
    </row>
    <row r="184">
      <c r="A184" s="35" t="n"/>
      <c r="B184" s="25" t="n"/>
      <c r="C184" s="25">
        <f>IF($B184="","",IFERROR(INDEX('HỌC VIÊN'!$B$4:$B$203,MATCH($B184,'HỌC VIÊN'!$A$4:$A$203,0)),""))</f>
        <v/>
      </c>
      <c r="D184" s="25" t="n"/>
      <c r="E184" s="25" t="n"/>
      <c r="F184" s="25" t="n"/>
      <c r="G184" s="35" t="n"/>
    </row>
    <row r="185">
      <c r="A185" s="35" t="n"/>
      <c r="B185" s="25" t="n"/>
      <c r="C185" s="25">
        <f>IF($B185="","",IFERROR(INDEX('HỌC VIÊN'!$B$4:$B$203,MATCH($B185,'HỌC VIÊN'!$A$4:$A$203,0)),""))</f>
        <v/>
      </c>
      <c r="D185" s="25" t="n"/>
      <c r="E185" s="25" t="n"/>
      <c r="F185" s="25" t="n"/>
      <c r="G185" s="35" t="n"/>
    </row>
    <row r="186">
      <c r="A186" s="35" t="n"/>
      <c r="B186" s="25" t="n"/>
      <c r="C186" s="25">
        <f>IF($B186="","",IFERROR(INDEX('HỌC VIÊN'!$B$4:$B$203,MATCH($B186,'HỌC VIÊN'!$A$4:$A$203,0)),""))</f>
        <v/>
      </c>
      <c r="D186" s="25" t="n"/>
      <c r="E186" s="25" t="n"/>
      <c r="F186" s="25" t="n"/>
      <c r="G186" s="35" t="n"/>
    </row>
    <row r="187">
      <c r="A187" s="35" t="n"/>
      <c r="B187" s="25" t="n"/>
      <c r="C187" s="25">
        <f>IF($B187="","",IFERROR(INDEX('HỌC VIÊN'!$B$4:$B$203,MATCH($B187,'HỌC VIÊN'!$A$4:$A$203,0)),""))</f>
        <v/>
      </c>
      <c r="D187" s="25" t="n"/>
      <c r="E187" s="25" t="n"/>
      <c r="F187" s="25" t="n"/>
      <c r="G187" s="35" t="n"/>
    </row>
    <row r="188">
      <c r="A188" s="35" t="n"/>
      <c r="B188" s="25" t="n"/>
      <c r="C188" s="25">
        <f>IF($B188="","",IFERROR(INDEX('HỌC VIÊN'!$B$4:$B$203,MATCH($B188,'HỌC VIÊN'!$A$4:$A$203,0)),""))</f>
        <v/>
      </c>
      <c r="D188" s="25" t="n"/>
      <c r="E188" s="25" t="n"/>
      <c r="F188" s="25" t="n"/>
      <c r="G188" s="35" t="n"/>
    </row>
    <row r="189">
      <c r="A189" s="35" t="n"/>
      <c r="B189" s="25" t="n"/>
      <c r="C189" s="25">
        <f>IF($B189="","",IFERROR(INDEX('HỌC VIÊN'!$B$4:$B$203,MATCH($B189,'HỌC VIÊN'!$A$4:$A$203,0)),""))</f>
        <v/>
      </c>
      <c r="D189" s="25" t="n"/>
      <c r="E189" s="25" t="n"/>
      <c r="F189" s="25" t="n"/>
      <c r="G189" s="35" t="n"/>
    </row>
    <row r="190">
      <c r="A190" s="35" t="n"/>
      <c r="B190" s="25" t="n"/>
      <c r="C190" s="25">
        <f>IF($B190="","",IFERROR(INDEX('HỌC VIÊN'!$B$4:$B$203,MATCH($B190,'HỌC VIÊN'!$A$4:$A$203,0)),""))</f>
        <v/>
      </c>
      <c r="D190" s="25" t="n"/>
      <c r="E190" s="25" t="n"/>
      <c r="F190" s="25" t="n"/>
      <c r="G190" s="35" t="n"/>
    </row>
    <row r="191">
      <c r="A191" s="35" t="n"/>
      <c r="B191" s="25" t="n"/>
      <c r="C191" s="25">
        <f>IF($B191="","",IFERROR(INDEX('HỌC VIÊN'!$B$4:$B$203,MATCH($B191,'HỌC VIÊN'!$A$4:$A$203,0)),""))</f>
        <v/>
      </c>
      <c r="D191" s="25" t="n"/>
      <c r="E191" s="25" t="n"/>
      <c r="F191" s="25" t="n"/>
      <c r="G191" s="35" t="n"/>
    </row>
    <row r="192">
      <c r="A192" s="35" t="n"/>
      <c r="B192" s="25" t="n"/>
      <c r="C192" s="25">
        <f>IF($B192="","",IFERROR(INDEX('HỌC VIÊN'!$B$4:$B$203,MATCH($B192,'HỌC VIÊN'!$A$4:$A$203,0)),""))</f>
        <v/>
      </c>
      <c r="D192" s="25" t="n"/>
      <c r="E192" s="25" t="n"/>
      <c r="F192" s="25" t="n"/>
      <c r="G192" s="35" t="n"/>
    </row>
    <row r="193">
      <c r="A193" s="35" t="n"/>
      <c r="B193" s="25" t="n"/>
      <c r="C193" s="25">
        <f>IF($B193="","",IFERROR(INDEX('HỌC VIÊN'!$B$4:$B$203,MATCH($B193,'HỌC VIÊN'!$A$4:$A$203,0)),""))</f>
        <v/>
      </c>
      <c r="D193" s="25" t="n"/>
      <c r="E193" s="25" t="n"/>
      <c r="F193" s="25" t="n"/>
      <c r="G193" s="35" t="n"/>
    </row>
    <row r="194">
      <c r="A194" s="35" t="n"/>
      <c r="B194" s="25" t="n"/>
      <c r="C194" s="25">
        <f>IF($B194="","",IFERROR(INDEX('HỌC VIÊN'!$B$4:$B$203,MATCH($B194,'HỌC VIÊN'!$A$4:$A$203,0)),""))</f>
        <v/>
      </c>
      <c r="D194" s="25" t="n"/>
      <c r="E194" s="25" t="n"/>
      <c r="F194" s="25" t="n"/>
      <c r="G194" s="35" t="n"/>
    </row>
    <row r="195">
      <c r="A195" s="35" t="n"/>
      <c r="B195" s="25" t="n"/>
      <c r="C195" s="25">
        <f>IF($B195="","",IFERROR(INDEX('HỌC VIÊN'!$B$4:$B$203,MATCH($B195,'HỌC VIÊN'!$A$4:$A$203,0)),""))</f>
        <v/>
      </c>
      <c r="D195" s="25" t="n"/>
      <c r="E195" s="25" t="n"/>
      <c r="F195" s="25" t="n"/>
      <c r="G195" s="35" t="n"/>
    </row>
    <row r="196">
      <c r="A196" s="35" t="n"/>
      <c r="B196" s="25" t="n"/>
      <c r="C196" s="25">
        <f>IF($B196="","",IFERROR(INDEX('HỌC VIÊN'!$B$4:$B$203,MATCH($B196,'HỌC VIÊN'!$A$4:$A$203,0)),""))</f>
        <v/>
      </c>
      <c r="D196" s="25" t="n"/>
      <c r="E196" s="25" t="n"/>
      <c r="F196" s="25" t="n"/>
      <c r="G196" s="35" t="n"/>
    </row>
    <row r="197">
      <c r="A197" s="35" t="n"/>
      <c r="B197" s="25" t="n"/>
      <c r="C197" s="25">
        <f>IF($B197="","",IFERROR(INDEX('HỌC VIÊN'!$B$4:$B$203,MATCH($B197,'HỌC VIÊN'!$A$4:$A$203,0)),""))</f>
        <v/>
      </c>
      <c r="D197" s="25" t="n"/>
      <c r="E197" s="25" t="n"/>
      <c r="F197" s="25" t="n"/>
      <c r="G197" s="35" t="n"/>
    </row>
    <row r="198">
      <c r="A198" s="35" t="n"/>
      <c r="B198" s="25" t="n"/>
      <c r="C198" s="25">
        <f>IF($B198="","",IFERROR(INDEX('HỌC VIÊN'!$B$4:$B$203,MATCH($B198,'HỌC VIÊN'!$A$4:$A$203,0)),""))</f>
        <v/>
      </c>
      <c r="D198" s="25" t="n"/>
      <c r="E198" s="25" t="n"/>
      <c r="F198" s="25" t="n"/>
      <c r="G198" s="35" t="n"/>
    </row>
    <row r="199">
      <c r="A199" s="35" t="n"/>
      <c r="B199" s="25" t="n"/>
      <c r="C199" s="25">
        <f>IF($B199="","",IFERROR(INDEX('HỌC VIÊN'!$B$4:$B$203,MATCH($B199,'HỌC VIÊN'!$A$4:$A$203,0)),""))</f>
        <v/>
      </c>
      <c r="D199" s="25" t="n"/>
      <c r="E199" s="25" t="n"/>
      <c r="F199" s="25" t="n"/>
      <c r="G199" s="35" t="n"/>
    </row>
    <row r="200">
      <c r="A200" s="35" t="n"/>
      <c r="B200" s="25" t="n"/>
      <c r="C200" s="25">
        <f>IF($B200="","",IFERROR(INDEX('HỌC VIÊN'!$B$4:$B$203,MATCH($B200,'HỌC VIÊN'!$A$4:$A$203,0)),""))</f>
        <v/>
      </c>
      <c r="D200" s="25" t="n"/>
      <c r="E200" s="25" t="n"/>
      <c r="F200" s="25" t="n"/>
      <c r="G200" s="35" t="n"/>
    </row>
    <row r="201">
      <c r="A201" s="35" t="n"/>
      <c r="B201" s="25" t="n"/>
      <c r="C201" s="25">
        <f>IF($B201="","",IFERROR(INDEX('HỌC VIÊN'!$B$4:$B$203,MATCH($B201,'HỌC VIÊN'!$A$4:$A$203,0)),""))</f>
        <v/>
      </c>
      <c r="D201" s="25" t="n"/>
      <c r="E201" s="25" t="n"/>
      <c r="F201" s="25" t="n"/>
      <c r="G201" s="35" t="n"/>
    </row>
    <row r="202">
      <c r="A202" s="35" t="n"/>
      <c r="B202" s="25" t="n"/>
      <c r="C202" s="25">
        <f>IF($B202="","",IFERROR(INDEX('HỌC VIÊN'!$B$4:$B$203,MATCH($B202,'HỌC VIÊN'!$A$4:$A$203,0)),""))</f>
        <v/>
      </c>
      <c r="D202" s="25" t="n"/>
      <c r="E202" s="25" t="n"/>
      <c r="F202" s="25" t="n"/>
      <c r="G202" s="35" t="n"/>
    </row>
    <row r="203">
      <c r="A203" s="35" t="n"/>
      <c r="B203" s="25" t="n"/>
      <c r="C203" s="25">
        <f>IF($B203="","",IFERROR(INDEX('HỌC VIÊN'!$B$4:$B$203,MATCH($B203,'HỌC VIÊN'!$A$4:$A$203,0)),""))</f>
        <v/>
      </c>
      <c r="D203" s="25" t="n"/>
      <c r="E203" s="25" t="n"/>
      <c r="F203" s="25" t="n"/>
      <c r="G203" s="35" t="n"/>
    </row>
    <row r="204">
      <c r="A204" s="35" t="n"/>
      <c r="B204" s="25" t="n"/>
      <c r="C204" s="25">
        <f>IF($B204="","",IFERROR(INDEX('HỌC VIÊN'!$B$4:$B$203,MATCH($B204,'HỌC VIÊN'!$A$4:$A$203,0)),""))</f>
        <v/>
      </c>
      <c r="D204" s="25" t="n"/>
      <c r="E204" s="25" t="n"/>
      <c r="F204" s="25" t="n"/>
      <c r="G204" s="35" t="n"/>
    </row>
    <row r="205">
      <c r="A205" s="35" t="n"/>
      <c r="B205" s="25" t="n"/>
      <c r="C205" s="25">
        <f>IF($B205="","",IFERROR(INDEX('HỌC VIÊN'!$B$4:$B$203,MATCH($B205,'HỌC VIÊN'!$A$4:$A$203,0)),""))</f>
        <v/>
      </c>
      <c r="D205" s="25" t="n"/>
      <c r="E205" s="25" t="n"/>
      <c r="F205" s="25" t="n"/>
      <c r="G205" s="35" t="n"/>
    </row>
    <row r="206">
      <c r="A206" s="35" t="n"/>
      <c r="B206" s="25" t="n"/>
      <c r="C206" s="25">
        <f>IF($B206="","",IFERROR(INDEX('HỌC VIÊN'!$B$4:$B$203,MATCH($B206,'HỌC VIÊN'!$A$4:$A$203,0)),""))</f>
        <v/>
      </c>
      <c r="D206" s="25" t="n"/>
      <c r="E206" s="25" t="n"/>
      <c r="F206" s="25" t="n"/>
      <c r="G206" s="35" t="n"/>
    </row>
    <row r="207">
      <c r="A207" s="35" t="n"/>
      <c r="B207" s="25" t="n"/>
      <c r="C207" s="25">
        <f>IF($B207="","",IFERROR(INDEX('HỌC VIÊN'!$B$4:$B$203,MATCH($B207,'HỌC VIÊN'!$A$4:$A$203,0)),""))</f>
        <v/>
      </c>
      <c r="D207" s="25" t="n"/>
      <c r="E207" s="25" t="n"/>
      <c r="F207" s="25" t="n"/>
      <c r="G207" s="35" t="n"/>
    </row>
    <row r="208">
      <c r="A208" s="35" t="n"/>
      <c r="B208" s="25" t="n"/>
      <c r="C208" s="25">
        <f>IF($B208="","",IFERROR(INDEX('HỌC VIÊN'!$B$4:$B$203,MATCH($B208,'HỌC VIÊN'!$A$4:$A$203,0)),""))</f>
        <v/>
      </c>
      <c r="D208" s="25" t="n"/>
      <c r="E208" s="25" t="n"/>
      <c r="F208" s="25" t="n"/>
      <c r="G208" s="35" t="n"/>
    </row>
    <row r="209">
      <c r="A209" s="35" t="n"/>
      <c r="B209" s="25" t="n"/>
      <c r="C209" s="25">
        <f>IF($B209="","",IFERROR(INDEX('HỌC VIÊN'!$B$4:$B$203,MATCH($B209,'HỌC VIÊN'!$A$4:$A$203,0)),""))</f>
        <v/>
      </c>
      <c r="D209" s="25" t="n"/>
      <c r="E209" s="25" t="n"/>
      <c r="F209" s="25" t="n"/>
      <c r="G209" s="35" t="n"/>
    </row>
    <row r="210">
      <c r="A210" s="35" t="n"/>
      <c r="B210" s="25" t="n"/>
      <c r="C210" s="25">
        <f>IF($B210="","",IFERROR(INDEX('HỌC VIÊN'!$B$4:$B$203,MATCH($B210,'HỌC VIÊN'!$A$4:$A$203,0)),""))</f>
        <v/>
      </c>
      <c r="D210" s="25" t="n"/>
      <c r="E210" s="25" t="n"/>
      <c r="F210" s="25" t="n"/>
      <c r="G210" s="35" t="n"/>
    </row>
    <row r="211">
      <c r="A211" s="35" t="n"/>
      <c r="B211" s="25" t="n"/>
      <c r="C211" s="25">
        <f>IF($B211="","",IFERROR(INDEX('HỌC VIÊN'!$B$4:$B$203,MATCH($B211,'HỌC VIÊN'!$A$4:$A$203,0)),""))</f>
        <v/>
      </c>
      <c r="D211" s="25" t="n"/>
      <c r="E211" s="25" t="n"/>
      <c r="F211" s="25" t="n"/>
      <c r="G211" s="35" t="n"/>
    </row>
    <row r="212">
      <c r="A212" s="35" t="n"/>
      <c r="B212" s="25" t="n"/>
      <c r="C212" s="25">
        <f>IF($B212="","",IFERROR(INDEX('HỌC VIÊN'!$B$4:$B$203,MATCH($B212,'HỌC VIÊN'!$A$4:$A$203,0)),""))</f>
        <v/>
      </c>
      <c r="D212" s="25" t="n"/>
      <c r="E212" s="25" t="n"/>
      <c r="F212" s="25" t="n"/>
      <c r="G212" s="35" t="n"/>
    </row>
    <row r="213">
      <c r="A213" s="35" t="n"/>
      <c r="B213" s="25" t="n"/>
      <c r="C213" s="25">
        <f>IF($B213="","",IFERROR(INDEX('HỌC VIÊN'!$B$4:$B$203,MATCH($B213,'HỌC VIÊN'!$A$4:$A$203,0)),""))</f>
        <v/>
      </c>
      <c r="D213" s="25" t="n"/>
      <c r="E213" s="25" t="n"/>
      <c r="F213" s="25" t="n"/>
      <c r="G213" s="35" t="n"/>
    </row>
    <row r="214">
      <c r="A214" s="35" t="n"/>
      <c r="B214" s="25" t="n"/>
      <c r="C214" s="25">
        <f>IF($B214="","",IFERROR(INDEX('HỌC VIÊN'!$B$4:$B$203,MATCH($B214,'HỌC VIÊN'!$A$4:$A$203,0)),""))</f>
        <v/>
      </c>
      <c r="D214" s="25" t="n"/>
      <c r="E214" s="25" t="n"/>
      <c r="F214" s="25" t="n"/>
      <c r="G214" s="35" t="n"/>
    </row>
    <row r="215">
      <c r="A215" s="35" t="n"/>
      <c r="B215" s="25" t="n"/>
      <c r="C215" s="25">
        <f>IF($B215="","",IFERROR(INDEX('HỌC VIÊN'!$B$4:$B$203,MATCH($B215,'HỌC VIÊN'!$A$4:$A$203,0)),""))</f>
        <v/>
      </c>
      <c r="D215" s="25" t="n"/>
      <c r="E215" s="25" t="n"/>
      <c r="F215" s="25" t="n"/>
      <c r="G215" s="35" t="n"/>
    </row>
    <row r="216">
      <c r="A216" s="35" t="n"/>
      <c r="B216" s="25" t="n"/>
      <c r="C216" s="25">
        <f>IF($B216="","",IFERROR(INDEX('HỌC VIÊN'!$B$4:$B$203,MATCH($B216,'HỌC VIÊN'!$A$4:$A$203,0)),""))</f>
        <v/>
      </c>
      <c r="D216" s="25" t="n"/>
      <c r="E216" s="25" t="n"/>
      <c r="F216" s="25" t="n"/>
      <c r="G216" s="35" t="n"/>
    </row>
    <row r="217">
      <c r="A217" s="35" t="n"/>
      <c r="B217" s="25" t="n"/>
      <c r="C217" s="25">
        <f>IF($B217="","",IFERROR(INDEX('HỌC VIÊN'!$B$4:$B$203,MATCH($B217,'HỌC VIÊN'!$A$4:$A$203,0)),""))</f>
        <v/>
      </c>
      <c r="D217" s="25" t="n"/>
      <c r="E217" s="25" t="n"/>
      <c r="F217" s="25" t="n"/>
      <c r="G217" s="35" t="n"/>
    </row>
    <row r="218">
      <c r="A218" s="35" t="n"/>
      <c r="B218" s="25" t="n"/>
      <c r="C218" s="25">
        <f>IF($B218="","",IFERROR(INDEX('HỌC VIÊN'!$B$4:$B$203,MATCH($B218,'HỌC VIÊN'!$A$4:$A$203,0)),""))</f>
        <v/>
      </c>
      <c r="D218" s="25" t="n"/>
      <c r="E218" s="25" t="n"/>
      <c r="F218" s="25" t="n"/>
      <c r="G218" s="35" t="n"/>
    </row>
    <row r="219">
      <c r="A219" s="35" t="n"/>
      <c r="B219" s="25" t="n"/>
      <c r="C219" s="25">
        <f>IF($B219="","",IFERROR(INDEX('HỌC VIÊN'!$B$4:$B$203,MATCH($B219,'HỌC VIÊN'!$A$4:$A$203,0)),""))</f>
        <v/>
      </c>
      <c r="D219" s="25" t="n"/>
      <c r="E219" s="25" t="n"/>
      <c r="F219" s="25" t="n"/>
      <c r="G219" s="35" t="n"/>
    </row>
    <row r="220">
      <c r="A220" s="35" t="n"/>
      <c r="B220" s="25" t="n"/>
      <c r="C220" s="25">
        <f>IF($B220="","",IFERROR(INDEX('HỌC VIÊN'!$B$4:$B$203,MATCH($B220,'HỌC VIÊN'!$A$4:$A$203,0)),""))</f>
        <v/>
      </c>
      <c r="D220" s="25" t="n"/>
      <c r="E220" s="25" t="n"/>
      <c r="F220" s="25" t="n"/>
      <c r="G220" s="35" t="n"/>
    </row>
    <row r="221">
      <c r="A221" s="35" t="n"/>
      <c r="B221" s="25" t="n"/>
      <c r="C221" s="25">
        <f>IF($B221="","",IFERROR(INDEX('HỌC VIÊN'!$B$4:$B$203,MATCH($B221,'HỌC VIÊN'!$A$4:$A$203,0)),""))</f>
        <v/>
      </c>
      <c r="D221" s="25" t="n"/>
      <c r="E221" s="25" t="n"/>
      <c r="F221" s="25" t="n"/>
      <c r="G221" s="35" t="n"/>
    </row>
    <row r="222">
      <c r="A222" s="35" t="n"/>
      <c r="B222" s="25" t="n"/>
      <c r="C222" s="25">
        <f>IF($B222="","",IFERROR(INDEX('HỌC VIÊN'!$B$4:$B$203,MATCH($B222,'HỌC VIÊN'!$A$4:$A$203,0)),""))</f>
        <v/>
      </c>
      <c r="D222" s="25" t="n"/>
      <c r="E222" s="25" t="n"/>
      <c r="F222" s="25" t="n"/>
      <c r="G222" s="35" t="n"/>
    </row>
    <row r="223">
      <c r="A223" s="35" t="n"/>
      <c r="B223" s="25" t="n"/>
      <c r="C223" s="25">
        <f>IF($B223="","",IFERROR(INDEX('HỌC VIÊN'!$B$4:$B$203,MATCH($B223,'HỌC VIÊN'!$A$4:$A$203,0)),""))</f>
        <v/>
      </c>
      <c r="D223" s="25" t="n"/>
      <c r="E223" s="25" t="n"/>
      <c r="F223" s="25" t="n"/>
      <c r="G223" s="35" t="n"/>
    </row>
    <row r="224">
      <c r="A224" s="35" t="n"/>
      <c r="B224" s="25" t="n"/>
      <c r="C224" s="25">
        <f>IF($B224="","",IFERROR(INDEX('HỌC VIÊN'!$B$4:$B$203,MATCH($B224,'HỌC VIÊN'!$A$4:$A$203,0)),""))</f>
        <v/>
      </c>
      <c r="D224" s="25" t="n"/>
      <c r="E224" s="25" t="n"/>
      <c r="F224" s="25" t="n"/>
      <c r="G224" s="35" t="n"/>
    </row>
    <row r="225">
      <c r="A225" s="35" t="n"/>
      <c r="B225" s="25" t="n"/>
      <c r="C225" s="25">
        <f>IF($B225="","",IFERROR(INDEX('HỌC VIÊN'!$B$4:$B$203,MATCH($B225,'HỌC VIÊN'!$A$4:$A$203,0)),""))</f>
        <v/>
      </c>
      <c r="D225" s="25" t="n"/>
      <c r="E225" s="25" t="n"/>
      <c r="F225" s="25" t="n"/>
      <c r="G225" s="35" t="n"/>
    </row>
    <row r="226">
      <c r="A226" s="35" t="n"/>
      <c r="B226" s="25" t="n"/>
      <c r="C226" s="25">
        <f>IF($B226="","",IFERROR(INDEX('HỌC VIÊN'!$B$4:$B$203,MATCH($B226,'HỌC VIÊN'!$A$4:$A$203,0)),""))</f>
        <v/>
      </c>
      <c r="D226" s="25" t="n"/>
      <c r="E226" s="25" t="n"/>
      <c r="F226" s="25" t="n"/>
      <c r="G226" s="35" t="n"/>
    </row>
    <row r="227">
      <c r="A227" s="35" t="n"/>
      <c r="B227" s="25" t="n"/>
      <c r="C227" s="25">
        <f>IF($B227="","",IFERROR(INDEX('HỌC VIÊN'!$B$4:$B$203,MATCH($B227,'HỌC VIÊN'!$A$4:$A$203,0)),""))</f>
        <v/>
      </c>
      <c r="D227" s="25" t="n"/>
      <c r="E227" s="25" t="n"/>
      <c r="F227" s="25" t="n"/>
      <c r="G227" s="35" t="n"/>
    </row>
    <row r="228">
      <c r="A228" s="35" t="n"/>
      <c r="B228" s="25" t="n"/>
      <c r="C228" s="25">
        <f>IF($B228="","",IFERROR(INDEX('HỌC VIÊN'!$B$4:$B$203,MATCH($B228,'HỌC VIÊN'!$A$4:$A$203,0)),""))</f>
        <v/>
      </c>
      <c r="D228" s="25" t="n"/>
      <c r="E228" s="25" t="n"/>
      <c r="F228" s="25" t="n"/>
      <c r="G228" s="35" t="n"/>
    </row>
    <row r="229">
      <c r="A229" s="35" t="n"/>
      <c r="B229" s="25" t="n"/>
      <c r="C229" s="25">
        <f>IF($B229="","",IFERROR(INDEX('HỌC VIÊN'!$B$4:$B$203,MATCH($B229,'HỌC VIÊN'!$A$4:$A$203,0)),""))</f>
        <v/>
      </c>
      <c r="D229" s="25" t="n"/>
      <c r="E229" s="25" t="n"/>
      <c r="F229" s="25" t="n"/>
      <c r="G229" s="35" t="n"/>
    </row>
    <row r="230">
      <c r="A230" s="35" t="n"/>
      <c r="B230" s="25" t="n"/>
      <c r="C230" s="25">
        <f>IF($B230="","",IFERROR(INDEX('HỌC VIÊN'!$B$4:$B$203,MATCH($B230,'HỌC VIÊN'!$A$4:$A$203,0)),""))</f>
        <v/>
      </c>
      <c r="D230" s="25" t="n"/>
      <c r="E230" s="25" t="n"/>
      <c r="F230" s="25" t="n"/>
      <c r="G230" s="35" t="n"/>
    </row>
    <row r="231">
      <c r="A231" s="35" t="n"/>
      <c r="B231" s="25" t="n"/>
      <c r="C231" s="25">
        <f>IF($B231="","",IFERROR(INDEX('HỌC VIÊN'!$B$4:$B$203,MATCH($B231,'HỌC VIÊN'!$A$4:$A$203,0)),""))</f>
        <v/>
      </c>
      <c r="D231" s="25" t="n"/>
      <c r="E231" s="25" t="n"/>
      <c r="F231" s="25" t="n"/>
      <c r="G231" s="35" t="n"/>
    </row>
    <row r="232">
      <c r="A232" s="35" t="n"/>
      <c r="B232" s="25" t="n"/>
      <c r="C232" s="25">
        <f>IF($B232="","",IFERROR(INDEX('HỌC VIÊN'!$B$4:$B$203,MATCH($B232,'HỌC VIÊN'!$A$4:$A$203,0)),""))</f>
        <v/>
      </c>
      <c r="D232" s="25" t="n"/>
      <c r="E232" s="25" t="n"/>
      <c r="F232" s="25" t="n"/>
      <c r="G232" s="35" t="n"/>
    </row>
    <row r="233">
      <c r="A233" s="35" t="n"/>
      <c r="B233" s="25" t="n"/>
      <c r="C233" s="25">
        <f>IF($B233="","",IFERROR(INDEX('HỌC VIÊN'!$B$4:$B$203,MATCH($B233,'HỌC VIÊN'!$A$4:$A$203,0)),""))</f>
        <v/>
      </c>
      <c r="D233" s="25" t="n"/>
      <c r="E233" s="25" t="n"/>
      <c r="F233" s="25" t="n"/>
      <c r="G233" s="35" t="n"/>
    </row>
    <row r="234">
      <c r="A234" s="35" t="n"/>
      <c r="B234" s="25" t="n"/>
      <c r="C234" s="25">
        <f>IF($B234="","",IFERROR(INDEX('HỌC VIÊN'!$B$4:$B$203,MATCH($B234,'HỌC VIÊN'!$A$4:$A$203,0)),""))</f>
        <v/>
      </c>
      <c r="D234" s="25" t="n"/>
      <c r="E234" s="25" t="n"/>
      <c r="F234" s="25" t="n"/>
      <c r="G234" s="35" t="n"/>
    </row>
    <row r="235">
      <c r="A235" s="35" t="n"/>
      <c r="B235" s="25" t="n"/>
      <c r="C235" s="25">
        <f>IF($B235="","",IFERROR(INDEX('HỌC VIÊN'!$B$4:$B$203,MATCH($B235,'HỌC VIÊN'!$A$4:$A$203,0)),""))</f>
        <v/>
      </c>
      <c r="D235" s="25" t="n"/>
      <c r="E235" s="25" t="n"/>
      <c r="F235" s="25" t="n"/>
      <c r="G235" s="35" t="n"/>
    </row>
    <row r="236">
      <c r="A236" s="35" t="n"/>
      <c r="B236" s="25" t="n"/>
      <c r="C236" s="25">
        <f>IF($B236="","",IFERROR(INDEX('HỌC VIÊN'!$B$4:$B$203,MATCH($B236,'HỌC VIÊN'!$A$4:$A$203,0)),""))</f>
        <v/>
      </c>
      <c r="D236" s="25" t="n"/>
      <c r="E236" s="25" t="n"/>
      <c r="F236" s="25" t="n"/>
      <c r="G236" s="35" t="n"/>
    </row>
    <row r="237">
      <c r="A237" s="35" t="n"/>
      <c r="B237" s="25" t="n"/>
      <c r="C237" s="25">
        <f>IF($B237="","",IFERROR(INDEX('HỌC VIÊN'!$B$4:$B$203,MATCH($B237,'HỌC VIÊN'!$A$4:$A$203,0)),""))</f>
        <v/>
      </c>
      <c r="D237" s="25" t="n"/>
      <c r="E237" s="25" t="n"/>
      <c r="F237" s="25" t="n"/>
      <c r="G237" s="35" t="n"/>
    </row>
    <row r="238">
      <c r="A238" s="35" t="n"/>
      <c r="B238" s="25" t="n"/>
      <c r="C238" s="25">
        <f>IF($B238="","",IFERROR(INDEX('HỌC VIÊN'!$B$4:$B$203,MATCH($B238,'HỌC VIÊN'!$A$4:$A$203,0)),""))</f>
        <v/>
      </c>
      <c r="D238" s="25" t="n"/>
      <c r="E238" s="25" t="n"/>
      <c r="F238" s="25" t="n"/>
      <c r="G238" s="35" t="n"/>
    </row>
    <row r="239">
      <c r="A239" s="35" t="n"/>
      <c r="B239" s="25" t="n"/>
      <c r="C239" s="25">
        <f>IF($B239="","",IFERROR(INDEX('HỌC VIÊN'!$B$4:$B$203,MATCH($B239,'HỌC VIÊN'!$A$4:$A$203,0)),""))</f>
        <v/>
      </c>
      <c r="D239" s="25" t="n"/>
      <c r="E239" s="25" t="n"/>
      <c r="F239" s="25" t="n"/>
      <c r="G239" s="35" t="n"/>
    </row>
    <row r="240">
      <c r="A240" s="35" t="n"/>
      <c r="B240" s="25" t="n"/>
      <c r="C240" s="25">
        <f>IF($B240="","",IFERROR(INDEX('HỌC VIÊN'!$B$4:$B$203,MATCH($B240,'HỌC VIÊN'!$A$4:$A$203,0)),""))</f>
        <v/>
      </c>
      <c r="D240" s="25" t="n"/>
      <c r="E240" s="25" t="n"/>
      <c r="F240" s="25" t="n"/>
      <c r="G240" s="35" t="n"/>
    </row>
    <row r="241">
      <c r="A241" s="35" t="n"/>
      <c r="B241" s="25" t="n"/>
      <c r="C241" s="25">
        <f>IF($B241="","",IFERROR(INDEX('HỌC VIÊN'!$B$4:$B$203,MATCH($B241,'HỌC VIÊN'!$A$4:$A$203,0)),""))</f>
        <v/>
      </c>
      <c r="D241" s="25" t="n"/>
      <c r="E241" s="25" t="n"/>
      <c r="F241" s="25" t="n"/>
      <c r="G241" s="35" t="n"/>
    </row>
    <row r="242">
      <c r="A242" s="35" t="n"/>
      <c r="B242" s="25" t="n"/>
      <c r="C242" s="25">
        <f>IF($B242="","",IFERROR(INDEX('HỌC VIÊN'!$B$4:$B$203,MATCH($B242,'HỌC VIÊN'!$A$4:$A$203,0)),""))</f>
        <v/>
      </c>
      <c r="D242" s="25" t="n"/>
      <c r="E242" s="25" t="n"/>
      <c r="F242" s="25" t="n"/>
      <c r="G242" s="35" t="n"/>
    </row>
    <row r="243">
      <c r="A243" s="35" t="n"/>
      <c r="B243" s="25" t="n"/>
      <c r="C243" s="25">
        <f>IF($B243="","",IFERROR(INDEX('HỌC VIÊN'!$B$4:$B$203,MATCH($B243,'HỌC VIÊN'!$A$4:$A$203,0)),""))</f>
        <v/>
      </c>
      <c r="D243" s="25" t="n"/>
      <c r="E243" s="25" t="n"/>
      <c r="F243" s="25" t="n"/>
      <c r="G243" s="35" t="n"/>
    </row>
    <row r="244">
      <c r="A244" s="35" t="n"/>
      <c r="B244" s="25" t="n"/>
      <c r="C244" s="25">
        <f>IF($B244="","",IFERROR(INDEX('HỌC VIÊN'!$B$4:$B$203,MATCH($B244,'HỌC VIÊN'!$A$4:$A$203,0)),""))</f>
        <v/>
      </c>
      <c r="D244" s="25" t="n"/>
      <c r="E244" s="25" t="n"/>
      <c r="F244" s="25" t="n"/>
      <c r="G244" s="35" t="n"/>
    </row>
    <row r="245">
      <c r="A245" s="35" t="n"/>
      <c r="B245" s="25" t="n"/>
      <c r="C245" s="25">
        <f>IF($B245="","",IFERROR(INDEX('HỌC VIÊN'!$B$4:$B$203,MATCH($B245,'HỌC VIÊN'!$A$4:$A$203,0)),""))</f>
        <v/>
      </c>
      <c r="D245" s="25" t="n"/>
      <c r="E245" s="25" t="n"/>
      <c r="F245" s="25" t="n"/>
      <c r="G245" s="35" t="n"/>
    </row>
    <row r="246">
      <c r="A246" s="35" t="n"/>
      <c r="B246" s="25" t="n"/>
      <c r="C246" s="25">
        <f>IF($B246="","",IFERROR(INDEX('HỌC VIÊN'!$B$4:$B$203,MATCH($B246,'HỌC VIÊN'!$A$4:$A$203,0)),""))</f>
        <v/>
      </c>
      <c r="D246" s="25" t="n"/>
      <c r="E246" s="25" t="n"/>
      <c r="F246" s="25" t="n"/>
      <c r="G246" s="35" t="n"/>
    </row>
    <row r="247">
      <c r="A247" s="35" t="n"/>
      <c r="B247" s="25" t="n"/>
      <c r="C247" s="25">
        <f>IF($B247="","",IFERROR(INDEX('HỌC VIÊN'!$B$4:$B$203,MATCH($B247,'HỌC VIÊN'!$A$4:$A$203,0)),""))</f>
        <v/>
      </c>
      <c r="D247" s="25" t="n"/>
      <c r="E247" s="25" t="n"/>
      <c r="F247" s="25" t="n"/>
      <c r="G247" s="35" t="n"/>
    </row>
    <row r="248">
      <c r="A248" s="35" t="n"/>
      <c r="B248" s="25" t="n"/>
      <c r="C248" s="25">
        <f>IF($B248="","",IFERROR(INDEX('HỌC VIÊN'!$B$4:$B$203,MATCH($B248,'HỌC VIÊN'!$A$4:$A$203,0)),""))</f>
        <v/>
      </c>
      <c r="D248" s="25" t="n"/>
      <c r="E248" s="25" t="n"/>
      <c r="F248" s="25" t="n"/>
      <c r="G248" s="35" t="n"/>
    </row>
    <row r="249">
      <c r="A249" s="35" t="n"/>
      <c r="B249" s="25" t="n"/>
      <c r="C249" s="25">
        <f>IF($B249="","",IFERROR(INDEX('HỌC VIÊN'!$B$4:$B$203,MATCH($B249,'HỌC VIÊN'!$A$4:$A$203,0)),""))</f>
        <v/>
      </c>
      <c r="D249" s="25" t="n"/>
      <c r="E249" s="25" t="n"/>
      <c r="F249" s="25" t="n"/>
      <c r="G249" s="35" t="n"/>
    </row>
    <row r="250">
      <c r="A250" s="35" t="n"/>
      <c r="B250" s="25" t="n"/>
      <c r="C250" s="25">
        <f>IF($B250="","",IFERROR(INDEX('HỌC VIÊN'!$B$4:$B$203,MATCH($B250,'HỌC VIÊN'!$A$4:$A$203,0)),""))</f>
        <v/>
      </c>
      <c r="D250" s="25" t="n"/>
      <c r="E250" s="25" t="n"/>
      <c r="F250" s="25" t="n"/>
      <c r="G250" s="35" t="n"/>
    </row>
    <row r="251">
      <c r="A251" s="35" t="n"/>
      <c r="B251" s="25" t="n"/>
      <c r="C251" s="25">
        <f>IF($B251="","",IFERROR(INDEX('HỌC VIÊN'!$B$4:$B$203,MATCH($B251,'HỌC VIÊN'!$A$4:$A$203,0)),""))</f>
        <v/>
      </c>
      <c r="D251" s="25" t="n"/>
      <c r="E251" s="25" t="n"/>
      <c r="F251" s="25" t="n"/>
      <c r="G251" s="35" t="n"/>
    </row>
    <row r="252">
      <c r="A252" s="35" t="n"/>
      <c r="B252" s="25" t="n"/>
      <c r="C252" s="25">
        <f>IF($B252="","",IFERROR(INDEX('HỌC VIÊN'!$B$4:$B$203,MATCH($B252,'HỌC VIÊN'!$A$4:$A$203,0)),""))</f>
        <v/>
      </c>
      <c r="D252" s="25" t="n"/>
      <c r="E252" s="25" t="n"/>
      <c r="F252" s="25" t="n"/>
      <c r="G252" s="35" t="n"/>
    </row>
    <row r="253">
      <c r="A253" s="35" t="n"/>
      <c r="B253" s="25" t="n"/>
      <c r="C253" s="25">
        <f>IF($B253="","",IFERROR(INDEX('HỌC VIÊN'!$B$4:$B$203,MATCH($B253,'HỌC VIÊN'!$A$4:$A$203,0)),""))</f>
        <v/>
      </c>
      <c r="D253" s="25" t="n"/>
      <c r="E253" s="25" t="n"/>
      <c r="F253" s="25" t="n"/>
      <c r="G253" s="35" t="n"/>
    </row>
    <row r="254">
      <c r="A254" s="35" t="n"/>
      <c r="B254" s="25" t="n"/>
      <c r="C254" s="25">
        <f>IF($B254="","",IFERROR(INDEX('HỌC VIÊN'!$B$4:$B$203,MATCH($B254,'HỌC VIÊN'!$A$4:$A$203,0)),""))</f>
        <v/>
      </c>
      <c r="D254" s="25" t="n"/>
      <c r="E254" s="25" t="n"/>
      <c r="F254" s="25" t="n"/>
      <c r="G254" s="35" t="n"/>
    </row>
    <row r="255">
      <c r="A255" s="35" t="n"/>
      <c r="B255" s="25" t="n"/>
      <c r="C255" s="25">
        <f>IF($B255="","",IFERROR(INDEX('HỌC VIÊN'!$B$4:$B$203,MATCH($B255,'HỌC VIÊN'!$A$4:$A$203,0)),""))</f>
        <v/>
      </c>
      <c r="D255" s="25" t="n"/>
      <c r="E255" s="25" t="n"/>
      <c r="F255" s="25" t="n"/>
      <c r="G255" s="35" t="n"/>
    </row>
    <row r="256">
      <c r="A256" s="35" t="n"/>
      <c r="B256" s="25" t="n"/>
      <c r="C256" s="25">
        <f>IF($B256="","",IFERROR(INDEX('HỌC VIÊN'!$B$4:$B$203,MATCH($B256,'HỌC VIÊN'!$A$4:$A$203,0)),""))</f>
        <v/>
      </c>
      <c r="D256" s="25" t="n"/>
      <c r="E256" s="25" t="n"/>
      <c r="F256" s="25" t="n"/>
      <c r="G256" s="35" t="n"/>
    </row>
    <row r="257">
      <c r="A257" s="35" t="n"/>
      <c r="B257" s="25" t="n"/>
      <c r="C257" s="25">
        <f>IF($B257="","",IFERROR(INDEX('HỌC VIÊN'!$B$4:$B$203,MATCH($B257,'HỌC VIÊN'!$A$4:$A$203,0)),""))</f>
        <v/>
      </c>
      <c r="D257" s="25" t="n"/>
      <c r="E257" s="25" t="n"/>
      <c r="F257" s="25" t="n"/>
      <c r="G257" s="35" t="n"/>
    </row>
    <row r="258">
      <c r="A258" s="35" t="n"/>
      <c r="B258" s="25" t="n"/>
      <c r="C258" s="25">
        <f>IF($B258="","",IFERROR(INDEX('HỌC VIÊN'!$B$4:$B$203,MATCH($B258,'HỌC VIÊN'!$A$4:$A$203,0)),""))</f>
        <v/>
      </c>
      <c r="D258" s="25" t="n"/>
      <c r="E258" s="25" t="n"/>
      <c r="F258" s="25" t="n"/>
      <c r="G258" s="35" t="n"/>
    </row>
    <row r="259">
      <c r="A259" s="35" t="n"/>
      <c r="B259" s="25" t="n"/>
      <c r="C259" s="25">
        <f>IF($B259="","",IFERROR(INDEX('HỌC VIÊN'!$B$4:$B$203,MATCH($B259,'HỌC VIÊN'!$A$4:$A$203,0)),""))</f>
        <v/>
      </c>
      <c r="D259" s="25" t="n"/>
      <c r="E259" s="25" t="n"/>
      <c r="F259" s="25" t="n"/>
      <c r="G259" s="35" t="n"/>
    </row>
    <row r="260">
      <c r="A260" s="35" t="n"/>
      <c r="B260" s="25" t="n"/>
      <c r="C260" s="25">
        <f>IF($B260="","",IFERROR(INDEX('HỌC VIÊN'!$B$4:$B$203,MATCH($B260,'HỌC VIÊN'!$A$4:$A$203,0)),""))</f>
        <v/>
      </c>
      <c r="D260" s="25" t="n"/>
      <c r="E260" s="25" t="n"/>
      <c r="F260" s="25" t="n"/>
      <c r="G260" s="35" t="n"/>
    </row>
    <row r="261">
      <c r="A261" s="35" t="n"/>
      <c r="B261" s="25" t="n"/>
      <c r="C261" s="25">
        <f>IF($B261="","",IFERROR(INDEX('HỌC VIÊN'!$B$4:$B$203,MATCH($B261,'HỌC VIÊN'!$A$4:$A$203,0)),""))</f>
        <v/>
      </c>
      <c r="D261" s="25" t="n"/>
      <c r="E261" s="25" t="n"/>
      <c r="F261" s="25" t="n"/>
      <c r="G261" s="35" t="n"/>
    </row>
    <row r="262">
      <c r="A262" s="35" t="n"/>
      <c r="B262" s="25" t="n"/>
      <c r="C262" s="25">
        <f>IF($B262="","",IFERROR(INDEX('HỌC VIÊN'!$B$4:$B$203,MATCH($B262,'HỌC VIÊN'!$A$4:$A$203,0)),""))</f>
        <v/>
      </c>
      <c r="D262" s="25" t="n"/>
      <c r="E262" s="25" t="n"/>
      <c r="F262" s="25" t="n"/>
      <c r="G262" s="35" t="n"/>
    </row>
    <row r="263">
      <c r="A263" s="35" t="n"/>
      <c r="B263" s="25" t="n"/>
      <c r="C263" s="25">
        <f>IF($B263="","",IFERROR(INDEX('HỌC VIÊN'!$B$4:$B$203,MATCH($B263,'HỌC VIÊN'!$A$4:$A$203,0)),""))</f>
        <v/>
      </c>
      <c r="D263" s="25" t="n"/>
      <c r="E263" s="25" t="n"/>
      <c r="F263" s="25" t="n"/>
      <c r="G263" s="35" t="n"/>
    </row>
    <row r="264">
      <c r="A264" s="35" t="n"/>
      <c r="B264" s="25" t="n"/>
      <c r="C264" s="25">
        <f>IF($B264="","",IFERROR(INDEX('HỌC VIÊN'!$B$4:$B$203,MATCH($B264,'HỌC VIÊN'!$A$4:$A$203,0)),""))</f>
        <v/>
      </c>
      <c r="D264" s="25" t="n"/>
      <c r="E264" s="25" t="n"/>
      <c r="F264" s="25" t="n"/>
      <c r="G264" s="35" t="n"/>
    </row>
    <row r="265">
      <c r="A265" s="35" t="n"/>
      <c r="B265" s="25" t="n"/>
      <c r="C265" s="25">
        <f>IF($B265="","",IFERROR(INDEX('HỌC VIÊN'!$B$4:$B$203,MATCH($B265,'HỌC VIÊN'!$A$4:$A$203,0)),""))</f>
        <v/>
      </c>
      <c r="D265" s="25" t="n"/>
      <c r="E265" s="25" t="n"/>
      <c r="F265" s="25" t="n"/>
      <c r="G265" s="35" t="n"/>
    </row>
    <row r="266">
      <c r="A266" s="35" t="n"/>
      <c r="B266" s="25" t="n"/>
      <c r="C266" s="25">
        <f>IF($B266="","",IFERROR(INDEX('HỌC VIÊN'!$B$4:$B$203,MATCH($B266,'HỌC VIÊN'!$A$4:$A$203,0)),""))</f>
        <v/>
      </c>
      <c r="D266" s="25" t="n"/>
      <c r="E266" s="25" t="n"/>
      <c r="F266" s="25" t="n"/>
      <c r="G266" s="35" t="n"/>
    </row>
    <row r="267">
      <c r="A267" s="35" t="n"/>
      <c r="B267" s="25" t="n"/>
      <c r="C267" s="25">
        <f>IF($B267="","",IFERROR(INDEX('HỌC VIÊN'!$B$4:$B$203,MATCH($B267,'HỌC VIÊN'!$A$4:$A$203,0)),""))</f>
        <v/>
      </c>
      <c r="D267" s="25" t="n"/>
      <c r="E267" s="25" t="n"/>
      <c r="F267" s="25" t="n"/>
      <c r="G267" s="35" t="n"/>
    </row>
    <row r="268">
      <c r="A268" s="35" t="n"/>
      <c r="B268" s="25" t="n"/>
      <c r="C268" s="25">
        <f>IF($B268="","",IFERROR(INDEX('HỌC VIÊN'!$B$4:$B$203,MATCH($B268,'HỌC VIÊN'!$A$4:$A$203,0)),""))</f>
        <v/>
      </c>
      <c r="D268" s="25" t="n"/>
      <c r="E268" s="25" t="n"/>
      <c r="F268" s="25" t="n"/>
      <c r="G268" s="35" t="n"/>
    </row>
    <row r="269">
      <c r="A269" s="35" t="n"/>
      <c r="B269" s="25" t="n"/>
      <c r="C269" s="25">
        <f>IF($B269="","",IFERROR(INDEX('HỌC VIÊN'!$B$4:$B$203,MATCH($B269,'HỌC VIÊN'!$A$4:$A$203,0)),""))</f>
        <v/>
      </c>
      <c r="D269" s="25" t="n"/>
      <c r="E269" s="25" t="n"/>
      <c r="F269" s="25" t="n"/>
      <c r="G269" s="35" t="n"/>
    </row>
    <row r="270">
      <c r="A270" s="35" t="n"/>
      <c r="B270" s="25" t="n"/>
      <c r="C270" s="25">
        <f>IF($B270="","",IFERROR(INDEX('HỌC VIÊN'!$B$4:$B$203,MATCH($B270,'HỌC VIÊN'!$A$4:$A$203,0)),""))</f>
        <v/>
      </c>
      <c r="D270" s="25" t="n"/>
      <c r="E270" s="25" t="n"/>
      <c r="F270" s="25" t="n"/>
      <c r="G270" s="35" t="n"/>
    </row>
    <row r="271">
      <c r="A271" s="35" t="n"/>
      <c r="B271" s="25" t="n"/>
      <c r="C271" s="25">
        <f>IF($B271="","",IFERROR(INDEX('HỌC VIÊN'!$B$4:$B$203,MATCH($B271,'HỌC VIÊN'!$A$4:$A$203,0)),""))</f>
        <v/>
      </c>
      <c r="D271" s="25" t="n"/>
      <c r="E271" s="25" t="n"/>
      <c r="F271" s="25" t="n"/>
      <c r="G271" s="35" t="n"/>
    </row>
    <row r="272">
      <c r="A272" s="35" t="n"/>
      <c r="B272" s="25" t="n"/>
      <c r="C272" s="25">
        <f>IF($B272="","",IFERROR(INDEX('HỌC VIÊN'!$B$4:$B$203,MATCH($B272,'HỌC VIÊN'!$A$4:$A$203,0)),""))</f>
        <v/>
      </c>
      <c r="D272" s="25" t="n"/>
      <c r="E272" s="25" t="n"/>
      <c r="F272" s="25" t="n"/>
      <c r="G272" s="35" t="n"/>
    </row>
    <row r="273">
      <c r="A273" s="35" t="n"/>
      <c r="B273" s="25" t="n"/>
      <c r="C273" s="25">
        <f>IF($B273="","",IFERROR(INDEX('HỌC VIÊN'!$B$4:$B$203,MATCH($B273,'HỌC VIÊN'!$A$4:$A$203,0)),""))</f>
        <v/>
      </c>
      <c r="D273" s="25" t="n"/>
      <c r="E273" s="25" t="n"/>
      <c r="F273" s="25" t="n"/>
      <c r="G273" s="35" t="n"/>
    </row>
    <row r="274">
      <c r="A274" s="35" t="n"/>
      <c r="B274" s="25" t="n"/>
      <c r="C274" s="25">
        <f>IF($B274="","",IFERROR(INDEX('HỌC VIÊN'!$B$4:$B$203,MATCH($B274,'HỌC VIÊN'!$A$4:$A$203,0)),""))</f>
        <v/>
      </c>
      <c r="D274" s="25" t="n"/>
      <c r="E274" s="25" t="n"/>
      <c r="F274" s="25" t="n"/>
      <c r="G274" s="35" t="n"/>
    </row>
    <row r="275">
      <c r="A275" s="35" t="n"/>
      <c r="B275" s="25" t="n"/>
      <c r="C275" s="25">
        <f>IF($B275="","",IFERROR(INDEX('HỌC VIÊN'!$B$4:$B$203,MATCH($B275,'HỌC VIÊN'!$A$4:$A$203,0)),""))</f>
        <v/>
      </c>
      <c r="D275" s="25" t="n"/>
      <c r="E275" s="25" t="n"/>
      <c r="F275" s="25" t="n"/>
      <c r="G275" s="35" t="n"/>
    </row>
    <row r="276">
      <c r="A276" s="35" t="n"/>
      <c r="B276" s="25" t="n"/>
      <c r="C276" s="25">
        <f>IF($B276="","",IFERROR(INDEX('HỌC VIÊN'!$B$4:$B$203,MATCH($B276,'HỌC VIÊN'!$A$4:$A$203,0)),""))</f>
        <v/>
      </c>
      <c r="D276" s="25" t="n"/>
      <c r="E276" s="25" t="n"/>
      <c r="F276" s="25" t="n"/>
      <c r="G276" s="35" t="n"/>
    </row>
    <row r="277">
      <c r="A277" s="35" t="n"/>
      <c r="B277" s="25" t="n"/>
      <c r="C277" s="25">
        <f>IF($B277="","",IFERROR(INDEX('HỌC VIÊN'!$B$4:$B$203,MATCH($B277,'HỌC VIÊN'!$A$4:$A$203,0)),""))</f>
        <v/>
      </c>
      <c r="D277" s="25" t="n"/>
      <c r="E277" s="25" t="n"/>
      <c r="F277" s="25" t="n"/>
      <c r="G277" s="35" t="n"/>
    </row>
    <row r="278">
      <c r="A278" s="35" t="n"/>
      <c r="B278" s="25" t="n"/>
      <c r="C278" s="25">
        <f>IF($B278="","",IFERROR(INDEX('HỌC VIÊN'!$B$4:$B$203,MATCH($B278,'HỌC VIÊN'!$A$4:$A$203,0)),""))</f>
        <v/>
      </c>
      <c r="D278" s="25" t="n"/>
      <c r="E278" s="25" t="n"/>
      <c r="F278" s="25" t="n"/>
      <c r="G278" s="35" t="n"/>
    </row>
    <row r="279">
      <c r="A279" s="35" t="n"/>
      <c r="B279" s="25" t="n"/>
      <c r="C279" s="25">
        <f>IF($B279="","",IFERROR(INDEX('HỌC VIÊN'!$B$4:$B$203,MATCH($B279,'HỌC VIÊN'!$A$4:$A$203,0)),""))</f>
        <v/>
      </c>
      <c r="D279" s="25" t="n"/>
      <c r="E279" s="25" t="n"/>
      <c r="F279" s="25" t="n"/>
      <c r="G279" s="35" t="n"/>
    </row>
    <row r="280">
      <c r="A280" s="35" t="n"/>
      <c r="B280" s="25" t="n"/>
      <c r="C280" s="25">
        <f>IF($B280="","",IFERROR(INDEX('HỌC VIÊN'!$B$4:$B$203,MATCH($B280,'HỌC VIÊN'!$A$4:$A$203,0)),""))</f>
        <v/>
      </c>
      <c r="D280" s="25" t="n"/>
      <c r="E280" s="25" t="n"/>
      <c r="F280" s="25" t="n"/>
      <c r="G280" s="35" t="n"/>
    </row>
    <row r="281">
      <c r="A281" s="35" t="n"/>
      <c r="B281" s="25" t="n"/>
      <c r="C281" s="25">
        <f>IF($B281="","",IFERROR(INDEX('HỌC VIÊN'!$B$4:$B$203,MATCH($B281,'HỌC VIÊN'!$A$4:$A$203,0)),""))</f>
        <v/>
      </c>
      <c r="D281" s="25" t="n"/>
      <c r="E281" s="25" t="n"/>
      <c r="F281" s="25" t="n"/>
      <c r="G281" s="35" t="n"/>
    </row>
    <row r="282">
      <c r="A282" s="35" t="n"/>
      <c r="B282" s="25" t="n"/>
      <c r="C282" s="25">
        <f>IF($B282="","",IFERROR(INDEX('HỌC VIÊN'!$B$4:$B$203,MATCH($B282,'HỌC VIÊN'!$A$4:$A$203,0)),""))</f>
        <v/>
      </c>
      <c r="D282" s="25" t="n"/>
      <c r="E282" s="25" t="n"/>
      <c r="F282" s="25" t="n"/>
      <c r="G282" s="35" t="n"/>
    </row>
    <row r="283">
      <c r="A283" s="35" t="n"/>
      <c r="B283" s="25" t="n"/>
      <c r="C283" s="25">
        <f>IF($B283="","",IFERROR(INDEX('HỌC VIÊN'!$B$4:$B$203,MATCH($B283,'HỌC VIÊN'!$A$4:$A$203,0)),""))</f>
        <v/>
      </c>
      <c r="D283" s="25" t="n"/>
      <c r="E283" s="25" t="n"/>
      <c r="F283" s="25" t="n"/>
      <c r="G283" s="35" t="n"/>
    </row>
    <row r="284">
      <c r="A284" s="35" t="n"/>
      <c r="B284" s="25" t="n"/>
      <c r="C284" s="25">
        <f>IF($B284="","",IFERROR(INDEX('HỌC VIÊN'!$B$4:$B$203,MATCH($B284,'HỌC VIÊN'!$A$4:$A$203,0)),""))</f>
        <v/>
      </c>
      <c r="D284" s="25" t="n"/>
      <c r="E284" s="25" t="n"/>
      <c r="F284" s="25" t="n"/>
      <c r="G284" s="35" t="n"/>
    </row>
    <row r="285">
      <c r="A285" s="35" t="n"/>
      <c r="B285" s="25" t="n"/>
      <c r="C285" s="25">
        <f>IF($B285="","",IFERROR(INDEX('HỌC VIÊN'!$B$4:$B$203,MATCH($B285,'HỌC VIÊN'!$A$4:$A$203,0)),""))</f>
        <v/>
      </c>
      <c r="D285" s="25" t="n"/>
      <c r="E285" s="25" t="n"/>
      <c r="F285" s="25" t="n"/>
      <c r="G285" s="35" t="n"/>
    </row>
    <row r="286">
      <c r="A286" s="35" t="n"/>
      <c r="B286" s="25" t="n"/>
      <c r="C286" s="25">
        <f>IF($B286="","",IFERROR(INDEX('HỌC VIÊN'!$B$4:$B$203,MATCH($B286,'HỌC VIÊN'!$A$4:$A$203,0)),""))</f>
        <v/>
      </c>
      <c r="D286" s="25" t="n"/>
      <c r="E286" s="25" t="n"/>
      <c r="F286" s="25" t="n"/>
      <c r="G286" s="35" t="n"/>
    </row>
    <row r="287">
      <c r="A287" s="35" t="n"/>
      <c r="B287" s="25" t="n"/>
      <c r="C287" s="25">
        <f>IF($B287="","",IFERROR(INDEX('HỌC VIÊN'!$B$4:$B$203,MATCH($B287,'HỌC VIÊN'!$A$4:$A$203,0)),""))</f>
        <v/>
      </c>
      <c r="D287" s="25" t="n"/>
      <c r="E287" s="25" t="n"/>
      <c r="F287" s="25" t="n"/>
      <c r="G287" s="35" t="n"/>
    </row>
    <row r="288">
      <c r="A288" s="35" t="n"/>
      <c r="B288" s="25" t="n"/>
      <c r="C288" s="25">
        <f>IF($B288="","",IFERROR(INDEX('HỌC VIÊN'!$B$4:$B$203,MATCH($B288,'HỌC VIÊN'!$A$4:$A$203,0)),""))</f>
        <v/>
      </c>
      <c r="D288" s="25" t="n"/>
      <c r="E288" s="25" t="n"/>
      <c r="F288" s="25" t="n"/>
      <c r="G288" s="35" t="n"/>
    </row>
    <row r="289">
      <c r="A289" s="35" t="n"/>
      <c r="B289" s="25" t="n"/>
      <c r="C289" s="25">
        <f>IF($B289="","",IFERROR(INDEX('HỌC VIÊN'!$B$4:$B$203,MATCH($B289,'HỌC VIÊN'!$A$4:$A$203,0)),""))</f>
        <v/>
      </c>
      <c r="D289" s="25" t="n"/>
      <c r="E289" s="25" t="n"/>
      <c r="F289" s="25" t="n"/>
      <c r="G289" s="35" t="n"/>
    </row>
    <row r="290">
      <c r="A290" s="35" t="n"/>
      <c r="B290" s="25" t="n"/>
      <c r="C290" s="25">
        <f>IF($B290="","",IFERROR(INDEX('HỌC VIÊN'!$B$4:$B$203,MATCH($B290,'HỌC VIÊN'!$A$4:$A$203,0)),""))</f>
        <v/>
      </c>
      <c r="D290" s="25" t="n"/>
      <c r="E290" s="25" t="n"/>
      <c r="F290" s="25" t="n"/>
      <c r="G290" s="35" t="n"/>
    </row>
    <row r="291">
      <c r="A291" s="35" t="n"/>
      <c r="B291" s="25" t="n"/>
      <c r="C291" s="25">
        <f>IF($B291="","",IFERROR(INDEX('HỌC VIÊN'!$B$4:$B$203,MATCH($B291,'HỌC VIÊN'!$A$4:$A$203,0)),""))</f>
        <v/>
      </c>
      <c r="D291" s="25" t="n"/>
      <c r="E291" s="25" t="n"/>
      <c r="F291" s="25" t="n"/>
      <c r="G291" s="35" t="n"/>
    </row>
    <row r="292">
      <c r="A292" s="35" t="n"/>
      <c r="B292" s="25" t="n"/>
      <c r="C292" s="25">
        <f>IF($B292="","",IFERROR(INDEX('HỌC VIÊN'!$B$4:$B$203,MATCH($B292,'HỌC VIÊN'!$A$4:$A$203,0)),""))</f>
        <v/>
      </c>
      <c r="D292" s="25" t="n"/>
      <c r="E292" s="25" t="n"/>
      <c r="F292" s="25" t="n"/>
      <c r="G292" s="35" t="n"/>
    </row>
    <row r="293">
      <c r="A293" s="35" t="n"/>
      <c r="B293" s="25" t="n"/>
      <c r="C293" s="25">
        <f>IF($B293="","",IFERROR(INDEX('HỌC VIÊN'!$B$4:$B$203,MATCH($B293,'HỌC VIÊN'!$A$4:$A$203,0)),""))</f>
        <v/>
      </c>
      <c r="D293" s="25" t="n"/>
      <c r="E293" s="25" t="n"/>
      <c r="F293" s="25" t="n"/>
      <c r="G293" s="35" t="n"/>
    </row>
    <row r="294">
      <c r="A294" s="35" t="n"/>
      <c r="B294" s="25" t="n"/>
      <c r="C294" s="25">
        <f>IF($B294="","",IFERROR(INDEX('HỌC VIÊN'!$B$4:$B$203,MATCH($B294,'HỌC VIÊN'!$A$4:$A$203,0)),""))</f>
        <v/>
      </c>
      <c r="D294" s="25" t="n"/>
      <c r="E294" s="25" t="n"/>
      <c r="F294" s="25" t="n"/>
      <c r="G294" s="35" t="n"/>
    </row>
    <row r="295">
      <c r="A295" s="35" t="n"/>
      <c r="B295" s="25" t="n"/>
      <c r="C295" s="25">
        <f>IF($B295="","",IFERROR(INDEX('HỌC VIÊN'!$B$4:$B$203,MATCH($B295,'HỌC VIÊN'!$A$4:$A$203,0)),""))</f>
        <v/>
      </c>
      <c r="D295" s="25" t="n"/>
      <c r="E295" s="25" t="n"/>
      <c r="F295" s="25" t="n"/>
      <c r="G295" s="35" t="n"/>
    </row>
    <row r="296">
      <c r="A296" s="35" t="n"/>
      <c r="B296" s="25" t="n"/>
      <c r="C296" s="25">
        <f>IF($B296="","",IFERROR(INDEX('HỌC VIÊN'!$B$4:$B$203,MATCH($B296,'HỌC VIÊN'!$A$4:$A$203,0)),""))</f>
        <v/>
      </c>
      <c r="D296" s="25" t="n"/>
      <c r="E296" s="25" t="n"/>
      <c r="F296" s="25" t="n"/>
      <c r="G296" s="35" t="n"/>
    </row>
    <row r="297">
      <c r="A297" s="35" t="n"/>
      <c r="B297" s="25" t="n"/>
      <c r="C297" s="25">
        <f>IF($B297="","",IFERROR(INDEX('HỌC VIÊN'!$B$4:$B$203,MATCH($B297,'HỌC VIÊN'!$A$4:$A$203,0)),""))</f>
        <v/>
      </c>
      <c r="D297" s="25" t="n"/>
      <c r="E297" s="25" t="n"/>
      <c r="F297" s="25" t="n"/>
      <c r="G297" s="35" t="n"/>
    </row>
    <row r="298">
      <c r="A298" s="35" t="n"/>
      <c r="B298" s="25" t="n"/>
      <c r="C298" s="25">
        <f>IF($B298="","",IFERROR(INDEX('HỌC VIÊN'!$B$4:$B$203,MATCH($B298,'HỌC VIÊN'!$A$4:$A$203,0)),""))</f>
        <v/>
      </c>
      <c r="D298" s="25" t="n"/>
      <c r="E298" s="25" t="n"/>
      <c r="F298" s="25" t="n"/>
      <c r="G298" s="35" t="n"/>
    </row>
    <row r="299">
      <c r="A299" s="35" t="n"/>
      <c r="B299" s="25" t="n"/>
      <c r="C299" s="25">
        <f>IF($B299="","",IFERROR(INDEX('HỌC VIÊN'!$B$4:$B$203,MATCH($B299,'HỌC VIÊN'!$A$4:$A$203,0)),""))</f>
        <v/>
      </c>
      <c r="D299" s="25" t="n"/>
      <c r="E299" s="25" t="n"/>
      <c r="F299" s="25" t="n"/>
      <c r="G299" s="35" t="n"/>
    </row>
    <row r="300">
      <c r="A300" s="35" t="n"/>
      <c r="B300" s="25" t="n"/>
      <c r="C300" s="25">
        <f>IF($B300="","",IFERROR(INDEX('HỌC VIÊN'!$B$4:$B$203,MATCH($B300,'HỌC VIÊN'!$A$4:$A$203,0)),""))</f>
        <v/>
      </c>
      <c r="D300" s="25" t="n"/>
      <c r="E300" s="25" t="n"/>
      <c r="F300" s="25" t="n"/>
      <c r="G300" s="35" t="n"/>
    </row>
    <row r="301">
      <c r="A301" s="35" t="n"/>
      <c r="B301" s="25" t="n"/>
      <c r="C301" s="25">
        <f>IF($B301="","",IFERROR(INDEX('HỌC VIÊN'!$B$4:$B$203,MATCH($B301,'HỌC VIÊN'!$A$4:$A$203,0)),""))</f>
        <v/>
      </c>
      <c r="D301" s="25" t="n"/>
      <c r="E301" s="25" t="n"/>
      <c r="F301" s="25" t="n"/>
      <c r="G301" s="35" t="n"/>
    </row>
    <row r="302">
      <c r="A302" s="35" t="n"/>
      <c r="B302" s="25" t="n"/>
      <c r="C302" s="25">
        <f>IF($B302="","",IFERROR(INDEX('HỌC VIÊN'!$B$4:$B$203,MATCH($B302,'HỌC VIÊN'!$A$4:$A$203,0)),""))</f>
        <v/>
      </c>
      <c r="D302" s="25" t="n"/>
      <c r="E302" s="25" t="n"/>
      <c r="F302" s="25" t="n"/>
      <c r="G302" s="35" t="n"/>
    </row>
    <row r="303">
      <c r="A303" s="35" t="n"/>
      <c r="B303" s="25" t="n"/>
      <c r="C303" s="25">
        <f>IF($B303="","",IFERROR(INDEX('HỌC VIÊN'!$B$4:$B$203,MATCH($B303,'HỌC VIÊN'!$A$4:$A$203,0)),""))</f>
        <v/>
      </c>
      <c r="D303" s="25" t="n"/>
      <c r="E303" s="25" t="n"/>
      <c r="F303" s="25" t="n"/>
      <c r="G303" s="35" t="n"/>
    </row>
    <row r="304">
      <c r="A304" s="35" t="n"/>
      <c r="B304" s="25" t="n"/>
      <c r="C304" s="25">
        <f>IF($B304="","",IFERROR(INDEX('HỌC VIÊN'!$B$4:$B$203,MATCH($B304,'HỌC VIÊN'!$A$4:$A$203,0)),""))</f>
        <v/>
      </c>
      <c r="D304" s="25" t="n"/>
      <c r="E304" s="25" t="n"/>
      <c r="F304" s="25" t="n"/>
      <c r="G304" s="35" t="n"/>
    </row>
    <row r="305">
      <c r="A305" s="35" t="n"/>
      <c r="B305" s="25" t="n"/>
      <c r="C305" s="25">
        <f>IF($B305="","",IFERROR(INDEX('HỌC VIÊN'!$B$4:$B$203,MATCH($B305,'HỌC VIÊN'!$A$4:$A$203,0)),""))</f>
        <v/>
      </c>
      <c r="D305" s="25" t="n"/>
      <c r="E305" s="25" t="n"/>
      <c r="F305" s="25" t="n"/>
      <c r="G305" s="35" t="n"/>
    </row>
    <row r="306">
      <c r="A306" s="35" t="n"/>
      <c r="B306" s="25" t="n"/>
      <c r="C306" s="25">
        <f>IF($B306="","",IFERROR(INDEX('HỌC VIÊN'!$B$4:$B$203,MATCH($B306,'HỌC VIÊN'!$A$4:$A$203,0)),""))</f>
        <v/>
      </c>
      <c r="D306" s="25" t="n"/>
      <c r="E306" s="25" t="n"/>
      <c r="F306" s="25" t="n"/>
      <c r="G306" s="35" t="n"/>
    </row>
    <row r="307">
      <c r="A307" s="35" t="n"/>
      <c r="B307" s="25" t="n"/>
      <c r="C307" s="25">
        <f>IF($B307="","",IFERROR(INDEX('HỌC VIÊN'!$B$4:$B$203,MATCH($B307,'HỌC VIÊN'!$A$4:$A$203,0)),""))</f>
        <v/>
      </c>
      <c r="D307" s="25" t="n"/>
      <c r="E307" s="25" t="n"/>
      <c r="F307" s="25" t="n"/>
      <c r="G307" s="35" t="n"/>
    </row>
    <row r="308">
      <c r="A308" s="35" t="n"/>
      <c r="B308" s="25" t="n"/>
      <c r="C308" s="25">
        <f>IF($B308="","",IFERROR(INDEX('HỌC VIÊN'!$B$4:$B$203,MATCH($B308,'HỌC VIÊN'!$A$4:$A$203,0)),""))</f>
        <v/>
      </c>
      <c r="D308" s="25" t="n"/>
      <c r="E308" s="25" t="n"/>
      <c r="F308" s="25" t="n"/>
      <c r="G308" s="35" t="n"/>
    </row>
    <row r="309">
      <c r="A309" s="35" t="n"/>
      <c r="B309" s="25" t="n"/>
      <c r="C309" s="25">
        <f>IF($B309="","",IFERROR(INDEX('HỌC VIÊN'!$B$4:$B$203,MATCH($B309,'HỌC VIÊN'!$A$4:$A$203,0)),""))</f>
        <v/>
      </c>
      <c r="D309" s="25" t="n"/>
      <c r="E309" s="25" t="n"/>
      <c r="F309" s="25" t="n"/>
      <c r="G309" s="35" t="n"/>
    </row>
    <row r="310">
      <c r="A310" s="35" t="n"/>
      <c r="B310" s="25" t="n"/>
      <c r="C310" s="25">
        <f>IF($B310="","",IFERROR(INDEX('HỌC VIÊN'!$B$4:$B$203,MATCH($B310,'HỌC VIÊN'!$A$4:$A$203,0)),""))</f>
        <v/>
      </c>
      <c r="D310" s="25" t="n"/>
      <c r="E310" s="25" t="n"/>
      <c r="F310" s="25" t="n"/>
      <c r="G310" s="35" t="n"/>
    </row>
    <row r="311">
      <c r="A311" s="35" t="n"/>
      <c r="B311" s="25" t="n"/>
      <c r="C311" s="25">
        <f>IF($B311="","",IFERROR(INDEX('HỌC VIÊN'!$B$4:$B$203,MATCH($B311,'HỌC VIÊN'!$A$4:$A$203,0)),""))</f>
        <v/>
      </c>
      <c r="D311" s="25" t="n"/>
      <c r="E311" s="25" t="n"/>
      <c r="F311" s="25" t="n"/>
      <c r="G311" s="35" t="n"/>
    </row>
    <row r="312">
      <c r="A312" s="35" t="n"/>
      <c r="B312" s="25" t="n"/>
      <c r="C312" s="25">
        <f>IF($B312="","",IFERROR(INDEX('HỌC VIÊN'!$B$4:$B$203,MATCH($B312,'HỌC VIÊN'!$A$4:$A$203,0)),""))</f>
        <v/>
      </c>
      <c r="D312" s="25" t="n"/>
      <c r="E312" s="25" t="n"/>
      <c r="F312" s="25" t="n"/>
      <c r="G312" s="35" t="n"/>
    </row>
    <row r="313">
      <c r="A313" s="35" t="n"/>
      <c r="B313" s="25" t="n"/>
      <c r="C313" s="25">
        <f>IF($B313="","",IFERROR(INDEX('HỌC VIÊN'!$B$4:$B$203,MATCH($B313,'HỌC VIÊN'!$A$4:$A$203,0)),""))</f>
        <v/>
      </c>
      <c r="D313" s="25" t="n"/>
      <c r="E313" s="25" t="n"/>
      <c r="F313" s="25" t="n"/>
      <c r="G313" s="35" t="n"/>
    </row>
    <row r="314">
      <c r="A314" s="35" t="n"/>
      <c r="B314" s="25" t="n"/>
      <c r="C314" s="25">
        <f>IF($B314="","",IFERROR(INDEX('HỌC VIÊN'!$B$4:$B$203,MATCH($B314,'HỌC VIÊN'!$A$4:$A$203,0)),""))</f>
        <v/>
      </c>
      <c r="D314" s="25" t="n"/>
      <c r="E314" s="25" t="n"/>
      <c r="F314" s="25" t="n"/>
      <c r="G314" s="35" t="n"/>
    </row>
    <row r="315">
      <c r="A315" s="35" t="n"/>
      <c r="B315" s="25" t="n"/>
      <c r="C315" s="25">
        <f>IF($B315="","",IFERROR(INDEX('HỌC VIÊN'!$B$4:$B$203,MATCH($B315,'HỌC VIÊN'!$A$4:$A$203,0)),""))</f>
        <v/>
      </c>
      <c r="D315" s="25" t="n"/>
      <c r="E315" s="25" t="n"/>
      <c r="F315" s="25" t="n"/>
      <c r="G315" s="35" t="n"/>
    </row>
    <row r="316">
      <c r="A316" s="35" t="n"/>
      <c r="B316" s="25" t="n"/>
      <c r="C316" s="25">
        <f>IF($B316="","",IFERROR(INDEX('HỌC VIÊN'!$B$4:$B$203,MATCH($B316,'HỌC VIÊN'!$A$4:$A$203,0)),""))</f>
        <v/>
      </c>
      <c r="D316" s="25" t="n"/>
      <c r="E316" s="25" t="n"/>
      <c r="F316" s="25" t="n"/>
      <c r="G316" s="35" t="n"/>
    </row>
    <row r="317">
      <c r="A317" s="35" t="n"/>
      <c r="B317" s="25" t="n"/>
      <c r="C317" s="25">
        <f>IF($B317="","",IFERROR(INDEX('HỌC VIÊN'!$B$4:$B$203,MATCH($B317,'HỌC VIÊN'!$A$4:$A$203,0)),""))</f>
        <v/>
      </c>
      <c r="D317" s="25" t="n"/>
      <c r="E317" s="25" t="n"/>
      <c r="F317" s="25" t="n"/>
      <c r="G317" s="35" t="n"/>
    </row>
    <row r="318">
      <c r="A318" s="35" t="n"/>
      <c r="B318" s="25" t="n"/>
      <c r="C318" s="25">
        <f>IF($B318="","",IFERROR(INDEX('HỌC VIÊN'!$B$4:$B$203,MATCH($B318,'HỌC VIÊN'!$A$4:$A$203,0)),""))</f>
        <v/>
      </c>
      <c r="D318" s="25" t="n"/>
      <c r="E318" s="25" t="n"/>
      <c r="F318" s="25" t="n"/>
      <c r="G318" s="35" t="n"/>
    </row>
    <row r="319">
      <c r="A319" s="35" t="n"/>
      <c r="B319" s="25" t="n"/>
      <c r="C319" s="25">
        <f>IF($B319="","",IFERROR(INDEX('HỌC VIÊN'!$B$4:$B$203,MATCH($B319,'HỌC VIÊN'!$A$4:$A$203,0)),""))</f>
        <v/>
      </c>
      <c r="D319" s="25" t="n"/>
      <c r="E319" s="25" t="n"/>
      <c r="F319" s="25" t="n"/>
      <c r="G319" s="35" t="n"/>
    </row>
    <row r="320">
      <c r="A320" s="35" t="n"/>
      <c r="B320" s="25" t="n"/>
      <c r="C320" s="25">
        <f>IF($B320="","",IFERROR(INDEX('HỌC VIÊN'!$B$4:$B$203,MATCH($B320,'HỌC VIÊN'!$A$4:$A$203,0)),""))</f>
        <v/>
      </c>
      <c r="D320" s="25" t="n"/>
      <c r="E320" s="25" t="n"/>
      <c r="F320" s="25" t="n"/>
      <c r="G320" s="35" t="n"/>
    </row>
    <row r="321">
      <c r="A321" s="35" t="n"/>
      <c r="B321" s="25" t="n"/>
      <c r="C321" s="25">
        <f>IF($B321="","",IFERROR(INDEX('HỌC VIÊN'!$B$4:$B$203,MATCH($B321,'HỌC VIÊN'!$A$4:$A$203,0)),""))</f>
        <v/>
      </c>
      <c r="D321" s="25" t="n"/>
      <c r="E321" s="25" t="n"/>
      <c r="F321" s="25" t="n"/>
      <c r="G321" s="35" t="n"/>
    </row>
    <row r="322">
      <c r="A322" s="35" t="n"/>
      <c r="B322" s="25" t="n"/>
      <c r="C322" s="25">
        <f>IF($B322="","",IFERROR(INDEX('HỌC VIÊN'!$B$4:$B$203,MATCH($B322,'HỌC VIÊN'!$A$4:$A$203,0)),""))</f>
        <v/>
      </c>
      <c r="D322" s="25" t="n"/>
      <c r="E322" s="25" t="n"/>
      <c r="F322" s="25" t="n"/>
      <c r="G322" s="35" t="n"/>
    </row>
    <row r="323">
      <c r="A323" s="35" t="n"/>
      <c r="B323" s="25" t="n"/>
      <c r="C323" s="25">
        <f>IF($B323="","",IFERROR(INDEX('HỌC VIÊN'!$B$4:$B$203,MATCH($B323,'HỌC VIÊN'!$A$4:$A$203,0)),""))</f>
        <v/>
      </c>
      <c r="D323" s="25" t="n"/>
      <c r="E323" s="25" t="n"/>
      <c r="F323" s="25" t="n"/>
      <c r="G323" s="35" t="n"/>
    </row>
    <row r="324">
      <c r="A324" s="35" t="n"/>
      <c r="B324" s="25" t="n"/>
      <c r="C324" s="25">
        <f>IF($B324="","",IFERROR(INDEX('HỌC VIÊN'!$B$4:$B$203,MATCH($B324,'HỌC VIÊN'!$A$4:$A$203,0)),""))</f>
        <v/>
      </c>
      <c r="D324" s="25" t="n"/>
      <c r="E324" s="25" t="n"/>
      <c r="F324" s="25" t="n"/>
      <c r="G324" s="35" t="n"/>
    </row>
    <row r="325">
      <c r="A325" s="35" t="n"/>
      <c r="B325" s="25" t="n"/>
      <c r="C325" s="25">
        <f>IF($B325="","",IFERROR(INDEX('HỌC VIÊN'!$B$4:$B$203,MATCH($B325,'HỌC VIÊN'!$A$4:$A$203,0)),""))</f>
        <v/>
      </c>
      <c r="D325" s="25" t="n"/>
      <c r="E325" s="25" t="n"/>
      <c r="F325" s="25" t="n"/>
      <c r="G325" s="35" t="n"/>
    </row>
    <row r="326">
      <c r="A326" s="35" t="n"/>
      <c r="B326" s="25" t="n"/>
      <c r="C326" s="25">
        <f>IF($B326="","",IFERROR(INDEX('HỌC VIÊN'!$B$4:$B$203,MATCH($B326,'HỌC VIÊN'!$A$4:$A$203,0)),""))</f>
        <v/>
      </c>
      <c r="D326" s="25" t="n"/>
      <c r="E326" s="25" t="n"/>
      <c r="F326" s="25" t="n"/>
      <c r="G326" s="35" t="n"/>
    </row>
    <row r="327">
      <c r="A327" s="35" t="n"/>
      <c r="B327" s="25" t="n"/>
      <c r="C327" s="25">
        <f>IF($B327="","",IFERROR(INDEX('HỌC VIÊN'!$B$4:$B$203,MATCH($B327,'HỌC VIÊN'!$A$4:$A$203,0)),""))</f>
        <v/>
      </c>
      <c r="D327" s="25" t="n"/>
      <c r="E327" s="25" t="n"/>
      <c r="F327" s="25" t="n"/>
      <c r="G327" s="35" t="n"/>
    </row>
    <row r="328">
      <c r="A328" s="35" t="n"/>
      <c r="B328" s="25" t="n"/>
      <c r="C328" s="25">
        <f>IF($B328="","",IFERROR(INDEX('HỌC VIÊN'!$B$4:$B$203,MATCH($B328,'HỌC VIÊN'!$A$4:$A$203,0)),""))</f>
        <v/>
      </c>
      <c r="D328" s="25" t="n"/>
      <c r="E328" s="25" t="n"/>
      <c r="F328" s="25" t="n"/>
      <c r="G328" s="35" t="n"/>
    </row>
    <row r="329">
      <c r="A329" s="35" t="n"/>
      <c r="B329" s="25" t="n"/>
      <c r="C329" s="25">
        <f>IF($B329="","",IFERROR(INDEX('HỌC VIÊN'!$B$4:$B$203,MATCH($B329,'HỌC VIÊN'!$A$4:$A$203,0)),""))</f>
        <v/>
      </c>
      <c r="D329" s="25" t="n"/>
      <c r="E329" s="25" t="n"/>
      <c r="F329" s="25" t="n"/>
      <c r="G329" s="35" t="n"/>
    </row>
    <row r="330">
      <c r="A330" s="35" t="n"/>
      <c r="B330" s="25" t="n"/>
      <c r="C330" s="25">
        <f>IF($B330="","",IFERROR(INDEX('HỌC VIÊN'!$B$4:$B$203,MATCH($B330,'HỌC VIÊN'!$A$4:$A$203,0)),""))</f>
        <v/>
      </c>
      <c r="D330" s="25" t="n"/>
      <c r="E330" s="25" t="n"/>
      <c r="F330" s="25" t="n"/>
      <c r="G330" s="35" t="n"/>
    </row>
    <row r="331">
      <c r="A331" s="35" t="n"/>
      <c r="B331" s="25" t="n"/>
      <c r="C331" s="25">
        <f>IF($B331="","",IFERROR(INDEX('HỌC VIÊN'!$B$4:$B$203,MATCH($B331,'HỌC VIÊN'!$A$4:$A$203,0)),""))</f>
        <v/>
      </c>
      <c r="D331" s="25" t="n"/>
      <c r="E331" s="25" t="n"/>
      <c r="F331" s="25" t="n"/>
      <c r="G331" s="35" t="n"/>
    </row>
    <row r="332">
      <c r="A332" s="35" t="n"/>
      <c r="B332" s="25" t="n"/>
      <c r="C332" s="25">
        <f>IF($B332="","",IFERROR(INDEX('HỌC VIÊN'!$B$4:$B$203,MATCH($B332,'HỌC VIÊN'!$A$4:$A$203,0)),""))</f>
        <v/>
      </c>
      <c r="D332" s="25" t="n"/>
      <c r="E332" s="25" t="n"/>
      <c r="F332" s="25" t="n"/>
      <c r="G332" s="35" t="n"/>
    </row>
    <row r="333">
      <c r="A333" s="35" t="n"/>
      <c r="B333" s="25" t="n"/>
      <c r="C333" s="25">
        <f>IF($B333="","",IFERROR(INDEX('HỌC VIÊN'!$B$4:$B$203,MATCH($B333,'HỌC VIÊN'!$A$4:$A$203,0)),""))</f>
        <v/>
      </c>
      <c r="D333" s="25" t="n"/>
      <c r="E333" s="25" t="n"/>
      <c r="F333" s="25" t="n"/>
      <c r="G333" s="35" t="n"/>
    </row>
    <row r="334">
      <c r="A334" s="35" t="n"/>
      <c r="B334" s="25" t="n"/>
      <c r="C334" s="25">
        <f>IF($B334="","",IFERROR(INDEX('HỌC VIÊN'!$B$4:$B$203,MATCH($B334,'HỌC VIÊN'!$A$4:$A$203,0)),""))</f>
        <v/>
      </c>
      <c r="D334" s="25" t="n"/>
      <c r="E334" s="25" t="n"/>
      <c r="F334" s="25" t="n"/>
      <c r="G334" s="35" t="n"/>
    </row>
    <row r="335">
      <c r="A335" s="35" t="n"/>
      <c r="B335" s="25" t="n"/>
      <c r="C335" s="25">
        <f>IF($B335="","",IFERROR(INDEX('HỌC VIÊN'!$B$4:$B$203,MATCH($B335,'HỌC VIÊN'!$A$4:$A$203,0)),""))</f>
        <v/>
      </c>
      <c r="D335" s="25" t="n"/>
      <c r="E335" s="25" t="n"/>
      <c r="F335" s="25" t="n"/>
      <c r="G335" s="35" t="n"/>
    </row>
    <row r="336">
      <c r="A336" s="35" t="n"/>
      <c r="B336" s="25" t="n"/>
      <c r="C336" s="25">
        <f>IF($B336="","",IFERROR(INDEX('HỌC VIÊN'!$B$4:$B$203,MATCH($B336,'HỌC VIÊN'!$A$4:$A$203,0)),""))</f>
        <v/>
      </c>
      <c r="D336" s="25" t="n"/>
      <c r="E336" s="25" t="n"/>
      <c r="F336" s="25" t="n"/>
      <c r="G336" s="35" t="n"/>
    </row>
    <row r="337">
      <c r="A337" s="35" t="n"/>
      <c r="B337" s="25" t="n"/>
      <c r="C337" s="25">
        <f>IF($B337="","",IFERROR(INDEX('HỌC VIÊN'!$B$4:$B$203,MATCH($B337,'HỌC VIÊN'!$A$4:$A$203,0)),""))</f>
        <v/>
      </c>
      <c r="D337" s="25" t="n"/>
      <c r="E337" s="25" t="n"/>
      <c r="F337" s="25" t="n"/>
      <c r="G337" s="35" t="n"/>
    </row>
    <row r="338">
      <c r="A338" s="35" t="n"/>
      <c r="B338" s="25" t="n"/>
      <c r="C338" s="25">
        <f>IF($B338="","",IFERROR(INDEX('HỌC VIÊN'!$B$4:$B$203,MATCH($B338,'HỌC VIÊN'!$A$4:$A$203,0)),""))</f>
        <v/>
      </c>
      <c r="D338" s="25" t="n"/>
      <c r="E338" s="25" t="n"/>
      <c r="F338" s="25" t="n"/>
      <c r="G338" s="35" t="n"/>
    </row>
    <row r="339">
      <c r="A339" s="35" t="n"/>
      <c r="B339" s="25" t="n"/>
      <c r="C339" s="25">
        <f>IF($B339="","",IFERROR(INDEX('HỌC VIÊN'!$B$4:$B$203,MATCH($B339,'HỌC VIÊN'!$A$4:$A$203,0)),""))</f>
        <v/>
      </c>
      <c r="D339" s="25" t="n"/>
      <c r="E339" s="25" t="n"/>
      <c r="F339" s="25" t="n"/>
      <c r="G339" s="35" t="n"/>
    </row>
    <row r="340">
      <c r="A340" s="35" t="n"/>
      <c r="B340" s="25" t="n"/>
      <c r="C340" s="25">
        <f>IF($B340="","",IFERROR(INDEX('HỌC VIÊN'!$B$4:$B$203,MATCH($B340,'HỌC VIÊN'!$A$4:$A$203,0)),""))</f>
        <v/>
      </c>
      <c r="D340" s="25" t="n"/>
      <c r="E340" s="25" t="n"/>
      <c r="F340" s="25" t="n"/>
      <c r="G340" s="35" t="n"/>
    </row>
    <row r="341">
      <c r="A341" s="35" t="n"/>
      <c r="B341" s="25" t="n"/>
      <c r="C341" s="25">
        <f>IF($B341="","",IFERROR(INDEX('HỌC VIÊN'!$B$4:$B$203,MATCH($B341,'HỌC VIÊN'!$A$4:$A$203,0)),""))</f>
        <v/>
      </c>
      <c r="D341" s="25" t="n"/>
      <c r="E341" s="25" t="n"/>
      <c r="F341" s="25" t="n"/>
      <c r="G341" s="35" t="n"/>
    </row>
    <row r="342">
      <c r="A342" s="35" t="n"/>
      <c r="B342" s="25" t="n"/>
      <c r="C342" s="25">
        <f>IF($B342="","",IFERROR(INDEX('HỌC VIÊN'!$B$4:$B$203,MATCH($B342,'HỌC VIÊN'!$A$4:$A$203,0)),""))</f>
        <v/>
      </c>
      <c r="D342" s="25" t="n"/>
      <c r="E342" s="25" t="n"/>
      <c r="F342" s="25" t="n"/>
      <c r="G342" s="35" t="n"/>
    </row>
    <row r="343">
      <c r="A343" s="35" t="n"/>
      <c r="B343" s="25" t="n"/>
      <c r="C343" s="25">
        <f>IF($B343="","",IFERROR(INDEX('HỌC VIÊN'!$B$4:$B$203,MATCH($B343,'HỌC VIÊN'!$A$4:$A$203,0)),""))</f>
        <v/>
      </c>
      <c r="D343" s="25" t="n"/>
      <c r="E343" s="25" t="n"/>
      <c r="F343" s="25" t="n"/>
      <c r="G343" s="35" t="n"/>
    </row>
    <row r="344">
      <c r="A344" s="35" t="n"/>
      <c r="B344" s="25" t="n"/>
      <c r="C344" s="25">
        <f>IF($B344="","",IFERROR(INDEX('HỌC VIÊN'!$B$4:$B$203,MATCH($B344,'HỌC VIÊN'!$A$4:$A$203,0)),""))</f>
        <v/>
      </c>
      <c r="D344" s="25" t="n"/>
      <c r="E344" s="25" t="n"/>
      <c r="F344" s="25" t="n"/>
      <c r="G344" s="35" t="n"/>
    </row>
    <row r="345">
      <c r="A345" s="35" t="n"/>
      <c r="B345" s="25" t="n"/>
      <c r="C345" s="25">
        <f>IF($B345="","",IFERROR(INDEX('HỌC VIÊN'!$B$4:$B$203,MATCH($B345,'HỌC VIÊN'!$A$4:$A$203,0)),""))</f>
        <v/>
      </c>
      <c r="D345" s="25" t="n"/>
      <c r="E345" s="25" t="n"/>
      <c r="F345" s="25" t="n"/>
      <c r="G345" s="35" t="n"/>
    </row>
    <row r="346">
      <c r="A346" s="35" t="n"/>
      <c r="B346" s="25" t="n"/>
      <c r="C346" s="25">
        <f>IF($B346="","",IFERROR(INDEX('HỌC VIÊN'!$B$4:$B$203,MATCH($B346,'HỌC VIÊN'!$A$4:$A$203,0)),""))</f>
        <v/>
      </c>
      <c r="D346" s="25" t="n"/>
      <c r="E346" s="25" t="n"/>
      <c r="F346" s="25" t="n"/>
      <c r="G346" s="35" t="n"/>
    </row>
    <row r="347">
      <c r="A347" s="35" t="n"/>
      <c r="B347" s="25" t="n"/>
      <c r="C347" s="25">
        <f>IF($B347="","",IFERROR(INDEX('HỌC VIÊN'!$B$4:$B$203,MATCH($B347,'HỌC VIÊN'!$A$4:$A$203,0)),""))</f>
        <v/>
      </c>
      <c r="D347" s="25" t="n"/>
      <c r="E347" s="25" t="n"/>
      <c r="F347" s="25" t="n"/>
      <c r="G347" s="35" t="n"/>
    </row>
    <row r="348">
      <c r="A348" s="35" t="n"/>
      <c r="B348" s="25" t="n"/>
      <c r="C348" s="25">
        <f>IF($B348="","",IFERROR(INDEX('HỌC VIÊN'!$B$4:$B$203,MATCH($B348,'HỌC VIÊN'!$A$4:$A$203,0)),""))</f>
        <v/>
      </c>
      <c r="D348" s="25" t="n"/>
      <c r="E348" s="25" t="n"/>
      <c r="F348" s="25" t="n"/>
      <c r="G348" s="35" t="n"/>
    </row>
    <row r="349">
      <c r="A349" s="35" t="n"/>
      <c r="B349" s="25" t="n"/>
      <c r="C349" s="25">
        <f>IF($B349="","",IFERROR(INDEX('HỌC VIÊN'!$B$4:$B$203,MATCH($B349,'HỌC VIÊN'!$A$4:$A$203,0)),""))</f>
        <v/>
      </c>
      <c r="D349" s="25" t="n"/>
      <c r="E349" s="25" t="n"/>
      <c r="F349" s="25" t="n"/>
      <c r="G349" s="35" t="n"/>
    </row>
    <row r="350">
      <c r="A350" s="35" t="n"/>
      <c r="B350" s="25" t="n"/>
      <c r="C350" s="25">
        <f>IF($B350="","",IFERROR(INDEX('HỌC VIÊN'!$B$4:$B$203,MATCH($B350,'HỌC VIÊN'!$A$4:$A$203,0)),""))</f>
        <v/>
      </c>
      <c r="D350" s="25" t="n"/>
      <c r="E350" s="25" t="n"/>
      <c r="F350" s="25" t="n"/>
      <c r="G350" s="35" t="n"/>
    </row>
    <row r="351">
      <c r="A351" s="35" t="n"/>
      <c r="B351" s="25" t="n"/>
      <c r="C351" s="25">
        <f>IF($B351="","",IFERROR(INDEX('HỌC VIÊN'!$B$4:$B$203,MATCH($B351,'HỌC VIÊN'!$A$4:$A$203,0)),""))</f>
        <v/>
      </c>
      <c r="D351" s="25" t="n"/>
      <c r="E351" s="25" t="n"/>
      <c r="F351" s="25" t="n"/>
      <c r="G351" s="35" t="n"/>
    </row>
    <row r="352">
      <c r="A352" s="35" t="n"/>
      <c r="B352" s="25" t="n"/>
      <c r="C352" s="25">
        <f>IF($B352="","",IFERROR(INDEX('HỌC VIÊN'!$B$4:$B$203,MATCH($B352,'HỌC VIÊN'!$A$4:$A$203,0)),""))</f>
        <v/>
      </c>
      <c r="D352" s="25" t="n"/>
      <c r="E352" s="25" t="n"/>
      <c r="F352" s="25" t="n"/>
      <c r="G352" s="35" t="n"/>
    </row>
    <row r="353">
      <c r="A353" s="35" t="n"/>
      <c r="B353" s="25" t="n"/>
      <c r="C353" s="25">
        <f>IF($B353="","",IFERROR(INDEX('HỌC VIÊN'!$B$4:$B$203,MATCH($B353,'HỌC VIÊN'!$A$4:$A$203,0)),""))</f>
        <v/>
      </c>
      <c r="D353" s="25" t="n"/>
      <c r="E353" s="25" t="n"/>
      <c r="F353" s="25" t="n"/>
      <c r="G353" s="35" t="n"/>
    </row>
    <row r="354">
      <c r="A354" s="35" t="n"/>
      <c r="B354" s="25" t="n"/>
      <c r="C354" s="25">
        <f>IF($B354="","",IFERROR(INDEX('HỌC VIÊN'!$B$4:$B$203,MATCH($B354,'HỌC VIÊN'!$A$4:$A$203,0)),""))</f>
        <v/>
      </c>
      <c r="D354" s="25" t="n"/>
      <c r="E354" s="25" t="n"/>
      <c r="F354" s="25" t="n"/>
      <c r="G354" s="35" t="n"/>
    </row>
    <row r="355">
      <c r="A355" s="35" t="n"/>
      <c r="B355" s="25" t="n"/>
      <c r="C355" s="25">
        <f>IF($B355="","",IFERROR(INDEX('HỌC VIÊN'!$B$4:$B$203,MATCH($B355,'HỌC VIÊN'!$A$4:$A$203,0)),""))</f>
        <v/>
      </c>
      <c r="D355" s="25" t="n"/>
      <c r="E355" s="25" t="n"/>
      <c r="F355" s="25" t="n"/>
      <c r="G355" s="35" t="n"/>
    </row>
    <row r="356">
      <c r="A356" s="35" t="n"/>
      <c r="B356" s="25" t="n"/>
      <c r="C356" s="25">
        <f>IF($B356="","",IFERROR(INDEX('HỌC VIÊN'!$B$4:$B$203,MATCH($B356,'HỌC VIÊN'!$A$4:$A$203,0)),""))</f>
        <v/>
      </c>
      <c r="D356" s="25" t="n"/>
      <c r="E356" s="25" t="n"/>
      <c r="F356" s="25" t="n"/>
      <c r="G356" s="35" t="n"/>
    </row>
    <row r="357">
      <c r="A357" s="35" t="n"/>
      <c r="B357" s="25" t="n"/>
      <c r="C357" s="25">
        <f>IF($B357="","",IFERROR(INDEX('HỌC VIÊN'!$B$4:$B$203,MATCH($B357,'HỌC VIÊN'!$A$4:$A$203,0)),""))</f>
        <v/>
      </c>
      <c r="D357" s="25" t="n"/>
      <c r="E357" s="25" t="n"/>
      <c r="F357" s="25" t="n"/>
      <c r="G357" s="35" t="n"/>
    </row>
    <row r="358">
      <c r="A358" s="35" t="n"/>
      <c r="B358" s="25" t="n"/>
      <c r="C358" s="25">
        <f>IF($B358="","",IFERROR(INDEX('HỌC VIÊN'!$B$4:$B$203,MATCH($B358,'HỌC VIÊN'!$A$4:$A$203,0)),""))</f>
        <v/>
      </c>
      <c r="D358" s="25" t="n"/>
      <c r="E358" s="25" t="n"/>
      <c r="F358" s="25" t="n"/>
      <c r="G358" s="35" t="n"/>
    </row>
    <row r="359">
      <c r="A359" s="35" t="n"/>
      <c r="B359" s="25" t="n"/>
      <c r="C359" s="25">
        <f>IF($B359="","",IFERROR(INDEX('HỌC VIÊN'!$B$4:$B$203,MATCH($B359,'HỌC VIÊN'!$A$4:$A$203,0)),""))</f>
        <v/>
      </c>
      <c r="D359" s="25" t="n"/>
      <c r="E359" s="25" t="n"/>
      <c r="F359" s="25" t="n"/>
      <c r="G359" s="35" t="n"/>
    </row>
    <row r="360">
      <c r="A360" s="35" t="n"/>
      <c r="B360" s="25" t="n"/>
      <c r="C360" s="25">
        <f>IF($B360="","",IFERROR(INDEX('HỌC VIÊN'!$B$4:$B$203,MATCH($B360,'HỌC VIÊN'!$A$4:$A$203,0)),""))</f>
        <v/>
      </c>
      <c r="D360" s="25" t="n"/>
      <c r="E360" s="25" t="n"/>
      <c r="F360" s="25" t="n"/>
      <c r="G360" s="35" t="n"/>
    </row>
    <row r="361">
      <c r="A361" s="35" t="n"/>
      <c r="B361" s="25" t="n"/>
      <c r="C361" s="25">
        <f>IF($B361="","",IFERROR(INDEX('HỌC VIÊN'!$B$4:$B$203,MATCH($B361,'HỌC VIÊN'!$A$4:$A$203,0)),""))</f>
        <v/>
      </c>
      <c r="D361" s="25" t="n"/>
      <c r="E361" s="25" t="n"/>
      <c r="F361" s="25" t="n"/>
      <c r="G361" s="35" t="n"/>
    </row>
    <row r="362">
      <c r="A362" s="35" t="n"/>
      <c r="B362" s="25" t="n"/>
      <c r="C362" s="25">
        <f>IF($B362="","",IFERROR(INDEX('HỌC VIÊN'!$B$4:$B$203,MATCH($B362,'HỌC VIÊN'!$A$4:$A$203,0)),""))</f>
        <v/>
      </c>
      <c r="D362" s="25" t="n"/>
      <c r="E362" s="25" t="n"/>
      <c r="F362" s="25" t="n"/>
      <c r="G362" s="35" t="n"/>
    </row>
    <row r="363">
      <c r="A363" s="35" t="n"/>
      <c r="B363" s="25" t="n"/>
      <c r="C363" s="25">
        <f>IF($B363="","",IFERROR(INDEX('HỌC VIÊN'!$B$4:$B$203,MATCH($B363,'HỌC VIÊN'!$A$4:$A$203,0)),""))</f>
        <v/>
      </c>
      <c r="D363" s="25" t="n"/>
      <c r="E363" s="25" t="n"/>
      <c r="F363" s="25" t="n"/>
      <c r="G363" s="35" t="n"/>
    </row>
    <row r="364">
      <c r="A364" s="35" t="n"/>
      <c r="B364" s="25" t="n"/>
      <c r="C364" s="25">
        <f>IF($B364="","",IFERROR(INDEX('HỌC VIÊN'!$B$4:$B$203,MATCH($B364,'HỌC VIÊN'!$A$4:$A$203,0)),""))</f>
        <v/>
      </c>
      <c r="D364" s="25" t="n"/>
      <c r="E364" s="25" t="n"/>
      <c r="F364" s="25" t="n"/>
      <c r="G364" s="35" t="n"/>
    </row>
    <row r="365">
      <c r="A365" s="35" t="n"/>
      <c r="B365" s="25" t="n"/>
      <c r="C365" s="25">
        <f>IF($B365="","",IFERROR(INDEX('HỌC VIÊN'!$B$4:$B$203,MATCH($B365,'HỌC VIÊN'!$A$4:$A$203,0)),""))</f>
        <v/>
      </c>
      <c r="D365" s="25" t="n"/>
      <c r="E365" s="25" t="n"/>
      <c r="F365" s="25" t="n"/>
      <c r="G365" s="35" t="n"/>
    </row>
    <row r="366">
      <c r="A366" s="35" t="n"/>
      <c r="B366" s="25" t="n"/>
      <c r="C366" s="25">
        <f>IF($B366="","",IFERROR(INDEX('HỌC VIÊN'!$B$4:$B$203,MATCH($B366,'HỌC VIÊN'!$A$4:$A$203,0)),""))</f>
        <v/>
      </c>
      <c r="D366" s="25" t="n"/>
      <c r="E366" s="25" t="n"/>
      <c r="F366" s="25" t="n"/>
      <c r="G366" s="35" t="n"/>
    </row>
    <row r="367">
      <c r="A367" s="35" t="n"/>
      <c r="B367" s="25" t="n"/>
      <c r="C367" s="25">
        <f>IF($B367="","",IFERROR(INDEX('HỌC VIÊN'!$B$4:$B$203,MATCH($B367,'HỌC VIÊN'!$A$4:$A$203,0)),""))</f>
        <v/>
      </c>
      <c r="D367" s="25" t="n"/>
      <c r="E367" s="25" t="n"/>
      <c r="F367" s="25" t="n"/>
      <c r="G367" s="35" t="n"/>
    </row>
    <row r="368">
      <c r="A368" s="35" t="n"/>
      <c r="B368" s="25" t="n"/>
      <c r="C368" s="25">
        <f>IF($B368="","",IFERROR(INDEX('HỌC VIÊN'!$B$4:$B$203,MATCH($B368,'HỌC VIÊN'!$A$4:$A$203,0)),""))</f>
        <v/>
      </c>
      <c r="D368" s="25" t="n"/>
      <c r="E368" s="25" t="n"/>
      <c r="F368" s="25" t="n"/>
      <c r="G368" s="35" t="n"/>
    </row>
    <row r="369">
      <c r="A369" s="35" t="n"/>
      <c r="B369" s="25" t="n"/>
      <c r="C369" s="25">
        <f>IF($B369="","",IFERROR(INDEX('HỌC VIÊN'!$B$4:$B$203,MATCH($B369,'HỌC VIÊN'!$A$4:$A$203,0)),""))</f>
        <v/>
      </c>
      <c r="D369" s="25" t="n"/>
      <c r="E369" s="25" t="n"/>
      <c r="F369" s="25" t="n"/>
      <c r="G369" s="35" t="n"/>
    </row>
    <row r="370">
      <c r="A370" s="35" t="n"/>
      <c r="B370" s="25" t="n"/>
      <c r="C370" s="25">
        <f>IF($B370="","",IFERROR(INDEX('HỌC VIÊN'!$B$4:$B$203,MATCH($B370,'HỌC VIÊN'!$A$4:$A$203,0)),""))</f>
        <v/>
      </c>
      <c r="D370" s="25" t="n"/>
      <c r="E370" s="25" t="n"/>
      <c r="F370" s="25" t="n"/>
      <c r="G370" s="35" t="n"/>
    </row>
    <row r="371">
      <c r="A371" s="35" t="n"/>
      <c r="B371" s="25" t="n"/>
      <c r="C371" s="25">
        <f>IF($B371="","",IFERROR(INDEX('HỌC VIÊN'!$B$4:$B$203,MATCH($B371,'HỌC VIÊN'!$A$4:$A$203,0)),""))</f>
        <v/>
      </c>
      <c r="D371" s="25" t="n"/>
      <c r="E371" s="25" t="n"/>
      <c r="F371" s="25" t="n"/>
      <c r="G371" s="35" t="n"/>
    </row>
    <row r="372">
      <c r="A372" s="35" t="n"/>
      <c r="B372" s="25" t="n"/>
      <c r="C372" s="25">
        <f>IF($B372="","",IFERROR(INDEX('HỌC VIÊN'!$B$4:$B$203,MATCH($B372,'HỌC VIÊN'!$A$4:$A$203,0)),""))</f>
        <v/>
      </c>
      <c r="D372" s="25" t="n"/>
      <c r="E372" s="25" t="n"/>
      <c r="F372" s="25" t="n"/>
      <c r="G372" s="35" t="n"/>
    </row>
    <row r="373">
      <c r="A373" s="35" t="n"/>
      <c r="B373" s="25" t="n"/>
      <c r="C373" s="25">
        <f>IF($B373="","",IFERROR(INDEX('HỌC VIÊN'!$B$4:$B$203,MATCH($B373,'HỌC VIÊN'!$A$4:$A$203,0)),""))</f>
        <v/>
      </c>
      <c r="D373" s="25" t="n"/>
      <c r="E373" s="25" t="n"/>
      <c r="F373" s="25" t="n"/>
      <c r="G373" s="35" t="n"/>
    </row>
    <row r="374">
      <c r="A374" s="35" t="n"/>
      <c r="B374" s="25" t="n"/>
      <c r="C374" s="25">
        <f>IF($B374="","",IFERROR(INDEX('HỌC VIÊN'!$B$4:$B$203,MATCH($B374,'HỌC VIÊN'!$A$4:$A$203,0)),""))</f>
        <v/>
      </c>
      <c r="D374" s="25" t="n"/>
      <c r="E374" s="25" t="n"/>
      <c r="F374" s="25" t="n"/>
      <c r="G374" s="35" t="n"/>
    </row>
    <row r="375">
      <c r="A375" s="35" t="n"/>
      <c r="B375" s="25" t="n"/>
      <c r="C375" s="25">
        <f>IF($B375="","",IFERROR(INDEX('HỌC VIÊN'!$B$4:$B$203,MATCH($B375,'HỌC VIÊN'!$A$4:$A$203,0)),""))</f>
        <v/>
      </c>
      <c r="D375" s="25" t="n"/>
      <c r="E375" s="25" t="n"/>
      <c r="F375" s="25" t="n"/>
      <c r="G375" s="35" t="n"/>
    </row>
    <row r="376">
      <c r="A376" s="35" t="n"/>
      <c r="B376" s="25" t="n"/>
      <c r="C376" s="25">
        <f>IF($B376="","",IFERROR(INDEX('HỌC VIÊN'!$B$4:$B$203,MATCH($B376,'HỌC VIÊN'!$A$4:$A$203,0)),""))</f>
        <v/>
      </c>
      <c r="D376" s="25" t="n"/>
      <c r="E376" s="25" t="n"/>
      <c r="F376" s="25" t="n"/>
      <c r="G376" s="35" t="n"/>
    </row>
    <row r="377">
      <c r="A377" s="35" t="n"/>
      <c r="B377" s="25" t="n"/>
      <c r="C377" s="25">
        <f>IF($B377="","",IFERROR(INDEX('HỌC VIÊN'!$B$4:$B$203,MATCH($B377,'HỌC VIÊN'!$A$4:$A$203,0)),""))</f>
        <v/>
      </c>
      <c r="D377" s="25" t="n"/>
      <c r="E377" s="25" t="n"/>
      <c r="F377" s="25" t="n"/>
      <c r="G377" s="35" t="n"/>
    </row>
    <row r="378">
      <c r="A378" s="35" t="n"/>
      <c r="B378" s="25" t="n"/>
      <c r="C378" s="25">
        <f>IF($B378="","",IFERROR(INDEX('HỌC VIÊN'!$B$4:$B$203,MATCH($B378,'HỌC VIÊN'!$A$4:$A$203,0)),""))</f>
        <v/>
      </c>
      <c r="D378" s="25" t="n"/>
      <c r="E378" s="25" t="n"/>
      <c r="F378" s="25" t="n"/>
      <c r="G378" s="35" t="n"/>
    </row>
    <row r="379">
      <c r="A379" s="35" t="n"/>
      <c r="B379" s="25" t="n"/>
      <c r="C379" s="25">
        <f>IF($B379="","",IFERROR(INDEX('HỌC VIÊN'!$B$4:$B$203,MATCH($B379,'HỌC VIÊN'!$A$4:$A$203,0)),""))</f>
        <v/>
      </c>
      <c r="D379" s="25" t="n"/>
      <c r="E379" s="25" t="n"/>
      <c r="F379" s="25" t="n"/>
      <c r="G379" s="35" t="n"/>
    </row>
    <row r="380">
      <c r="A380" s="35" t="n"/>
      <c r="B380" s="25" t="n"/>
      <c r="C380" s="25">
        <f>IF($B380="","",IFERROR(INDEX('HỌC VIÊN'!$B$4:$B$203,MATCH($B380,'HỌC VIÊN'!$A$4:$A$203,0)),""))</f>
        <v/>
      </c>
      <c r="D380" s="25" t="n"/>
      <c r="E380" s="25" t="n"/>
      <c r="F380" s="25" t="n"/>
      <c r="G380" s="35" t="n"/>
    </row>
    <row r="381">
      <c r="A381" s="35" t="n"/>
      <c r="B381" s="25" t="n"/>
      <c r="C381" s="25">
        <f>IF($B381="","",IFERROR(INDEX('HỌC VIÊN'!$B$4:$B$203,MATCH($B381,'HỌC VIÊN'!$A$4:$A$203,0)),""))</f>
        <v/>
      </c>
      <c r="D381" s="25" t="n"/>
      <c r="E381" s="25" t="n"/>
      <c r="F381" s="25" t="n"/>
      <c r="G381" s="35" t="n"/>
    </row>
    <row r="382">
      <c r="A382" s="35" t="n"/>
      <c r="B382" s="25" t="n"/>
      <c r="C382" s="25">
        <f>IF($B382="","",IFERROR(INDEX('HỌC VIÊN'!$B$4:$B$203,MATCH($B382,'HỌC VIÊN'!$A$4:$A$203,0)),""))</f>
        <v/>
      </c>
      <c r="D382" s="25" t="n"/>
      <c r="E382" s="25" t="n"/>
      <c r="F382" s="25" t="n"/>
      <c r="G382" s="35" t="n"/>
    </row>
    <row r="383">
      <c r="A383" s="35" t="n"/>
      <c r="B383" s="25" t="n"/>
      <c r="C383" s="25">
        <f>IF($B383="","",IFERROR(INDEX('HỌC VIÊN'!$B$4:$B$203,MATCH($B383,'HỌC VIÊN'!$A$4:$A$203,0)),""))</f>
        <v/>
      </c>
      <c r="D383" s="25" t="n"/>
      <c r="E383" s="25" t="n"/>
      <c r="F383" s="25" t="n"/>
      <c r="G383" s="35" t="n"/>
    </row>
    <row r="384">
      <c r="A384" s="35" t="n"/>
      <c r="B384" s="25" t="n"/>
      <c r="C384" s="25">
        <f>IF($B384="","",IFERROR(INDEX('HỌC VIÊN'!$B$4:$B$203,MATCH($B384,'HỌC VIÊN'!$A$4:$A$203,0)),""))</f>
        <v/>
      </c>
      <c r="D384" s="25" t="n"/>
      <c r="E384" s="25" t="n"/>
      <c r="F384" s="25" t="n"/>
      <c r="G384" s="35" t="n"/>
    </row>
    <row r="385">
      <c r="A385" s="35" t="n"/>
      <c r="B385" s="25" t="n"/>
      <c r="C385" s="25">
        <f>IF($B385="","",IFERROR(INDEX('HỌC VIÊN'!$B$4:$B$203,MATCH($B385,'HỌC VIÊN'!$A$4:$A$203,0)),""))</f>
        <v/>
      </c>
      <c r="D385" s="25" t="n"/>
      <c r="E385" s="25" t="n"/>
      <c r="F385" s="25" t="n"/>
      <c r="G385" s="35" t="n"/>
    </row>
    <row r="386">
      <c r="A386" s="35" t="n"/>
      <c r="B386" s="25" t="n"/>
      <c r="C386" s="25">
        <f>IF($B386="","",IFERROR(INDEX('HỌC VIÊN'!$B$4:$B$203,MATCH($B386,'HỌC VIÊN'!$A$4:$A$203,0)),""))</f>
        <v/>
      </c>
      <c r="D386" s="25" t="n"/>
      <c r="E386" s="25" t="n"/>
      <c r="F386" s="25" t="n"/>
      <c r="G386" s="35" t="n"/>
    </row>
    <row r="387">
      <c r="A387" s="35" t="n"/>
      <c r="B387" s="25" t="n"/>
      <c r="C387" s="25">
        <f>IF($B387="","",IFERROR(INDEX('HỌC VIÊN'!$B$4:$B$203,MATCH($B387,'HỌC VIÊN'!$A$4:$A$203,0)),""))</f>
        <v/>
      </c>
      <c r="D387" s="25" t="n"/>
      <c r="E387" s="25" t="n"/>
      <c r="F387" s="25" t="n"/>
      <c r="G387" s="35" t="n"/>
    </row>
    <row r="388">
      <c r="A388" s="35" t="n"/>
      <c r="B388" s="25" t="n"/>
      <c r="C388" s="25">
        <f>IF($B388="","",IFERROR(INDEX('HỌC VIÊN'!$B$4:$B$203,MATCH($B388,'HỌC VIÊN'!$A$4:$A$203,0)),""))</f>
        <v/>
      </c>
      <c r="D388" s="25" t="n"/>
      <c r="E388" s="25" t="n"/>
      <c r="F388" s="25" t="n"/>
      <c r="G388" s="35" t="n"/>
    </row>
    <row r="389">
      <c r="A389" s="35" t="n"/>
      <c r="B389" s="25" t="n"/>
      <c r="C389" s="25">
        <f>IF($B389="","",IFERROR(INDEX('HỌC VIÊN'!$B$4:$B$203,MATCH($B389,'HỌC VIÊN'!$A$4:$A$203,0)),""))</f>
        <v/>
      </c>
      <c r="D389" s="25" t="n"/>
      <c r="E389" s="25" t="n"/>
      <c r="F389" s="25" t="n"/>
      <c r="G389" s="35" t="n"/>
    </row>
    <row r="390">
      <c r="A390" s="35" t="n"/>
      <c r="B390" s="25" t="n"/>
      <c r="C390" s="25">
        <f>IF($B390="","",IFERROR(INDEX('HỌC VIÊN'!$B$4:$B$203,MATCH($B390,'HỌC VIÊN'!$A$4:$A$203,0)),""))</f>
        <v/>
      </c>
      <c r="D390" s="25" t="n"/>
      <c r="E390" s="25" t="n"/>
      <c r="F390" s="25" t="n"/>
      <c r="G390" s="35" t="n"/>
    </row>
    <row r="391">
      <c r="A391" s="35" t="n"/>
      <c r="B391" s="25" t="n"/>
      <c r="C391" s="25">
        <f>IF($B391="","",IFERROR(INDEX('HỌC VIÊN'!$B$4:$B$203,MATCH($B391,'HỌC VIÊN'!$A$4:$A$203,0)),""))</f>
        <v/>
      </c>
      <c r="D391" s="25" t="n"/>
      <c r="E391" s="25" t="n"/>
      <c r="F391" s="25" t="n"/>
      <c r="G391" s="35" t="n"/>
    </row>
    <row r="392">
      <c r="A392" s="35" t="n"/>
      <c r="B392" s="25" t="n"/>
      <c r="C392" s="25">
        <f>IF($B392="","",IFERROR(INDEX('HỌC VIÊN'!$B$4:$B$203,MATCH($B392,'HỌC VIÊN'!$A$4:$A$203,0)),""))</f>
        <v/>
      </c>
      <c r="D392" s="25" t="n"/>
      <c r="E392" s="25" t="n"/>
      <c r="F392" s="25" t="n"/>
      <c r="G392" s="35" t="n"/>
    </row>
    <row r="393">
      <c r="A393" s="35" t="n"/>
      <c r="B393" s="25" t="n"/>
      <c r="C393" s="25">
        <f>IF($B393="","",IFERROR(INDEX('HỌC VIÊN'!$B$4:$B$203,MATCH($B393,'HỌC VIÊN'!$A$4:$A$203,0)),""))</f>
        <v/>
      </c>
      <c r="D393" s="25" t="n"/>
      <c r="E393" s="25" t="n"/>
      <c r="F393" s="25" t="n"/>
      <c r="G393" s="35" t="n"/>
    </row>
    <row r="394">
      <c r="A394" s="35" t="n"/>
      <c r="B394" s="25" t="n"/>
      <c r="C394" s="25">
        <f>IF($B394="","",IFERROR(INDEX('HỌC VIÊN'!$B$4:$B$203,MATCH($B394,'HỌC VIÊN'!$A$4:$A$203,0)),""))</f>
        <v/>
      </c>
      <c r="D394" s="25" t="n"/>
      <c r="E394" s="25" t="n"/>
      <c r="F394" s="25" t="n"/>
      <c r="G394" s="35" t="n"/>
    </row>
    <row r="395">
      <c r="A395" s="35" t="n"/>
      <c r="B395" s="25" t="n"/>
      <c r="C395" s="25">
        <f>IF($B395="","",IFERROR(INDEX('HỌC VIÊN'!$B$4:$B$203,MATCH($B395,'HỌC VIÊN'!$A$4:$A$203,0)),""))</f>
        <v/>
      </c>
      <c r="D395" s="25" t="n"/>
      <c r="E395" s="25" t="n"/>
      <c r="F395" s="25" t="n"/>
      <c r="G395" s="35" t="n"/>
    </row>
    <row r="396">
      <c r="A396" s="35" t="n"/>
      <c r="B396" s="25" t="n"/>
      <c r="C396" s="25">
        <f>IF($B396="","",IFERROR(INDEX('HỌC VIÊN'!$B$4:$B$203,MATCH($B396,'HỌC VIÊN'!$A$4:$A$203,0)),""))</f>
        <v/>
      </c>
      <c r="D396" s="25" t="n"/>
      <c r="E396" s="25" t="n"/>
      <c r="F396" s="25" t="n"/>
      <c r="G396" s="35" t="n"/>
    </row>
    <row r="397">
      <c r="A397" s="35" t="n"/>
      <c r="B397" s="25" t="n"/>
      <c r="C397" s="25">
        <f>IF($B397="","",IFERROR(INDEX('HỌC VIÊN'!$B$4:$B$203,MATCH($B397,'HỌC VIÊN'!$A$4:$A$203,0)),""))</f>
        <v/>
      </c>
      <c r="D397" s="25" t="n"/>
      <c r="E397" s="25" t="n"/>
      <c r="F397" s="25" t="n"/>
      <c r="G397" s="35" t="n"/>
    </row>
    <row r="398">
      <c r="A398" s="35" t="n"/>
      <c r="B398" s="25" t="n"/>
      <c r="C398" s="25">
        <f>IF($B398="","",IFERROR(INDEX('HỌC VIÊN'!$B$4:$B$203,MATCH($B398,'HỌC VIÊN'!$A$4:$A$203,0)),""))</f>
        <v/>
      </c>
      <c r="D398" s="25" t="n"/>
      <c r="E398" s="25" t="n"/>
      <c r="F398" s="25" t="n"/>
      <c r="G398" s="35" t="n"/>
    </row>
    <row r="399">
      <c r="A399" s="35" t="n"/>
      <c r="B399" s="25" t="n"/>
      <c r="C399" s="25">
        <f>IF($B399="","",IFERROR(INDEX('HỌC VIÊN'!$B$4:$B$203,MATCH($B399,'HỌC VIÊN'!$A$4:$A$203,0)),""))</f>
        <v/>
      </c>
      <c r="D399" s="25" t="n"/>
      <c r="E399" s="25" t="n"/>
      <c r="F399" s="25" t="n"/>
      <c r="G399" s="35" t="n"/>
    </row>
    <row r="400">
      <c r="A400" s="35" t="n"/>
      <c r="B400" s="25" t="n"/>
      <c r="C400" s="25">
        <f>IF($B400="","",IFERROR(INDEX('HỌC VIÊN'!$B$4:$B$203,MATCH($B400,'HỌC VIÊN'!$A$4:$A$203,0)),""))</f>
        <v/>
      </c>
      <c r="D400" s="25" t="n"/>
      <c r="E400" s="25" t="n"/>
      <c r="F400" s="25" t="n"/>
      <c r="G400" s="35" t="n"/>
    </row>
    <row r="401">
      <c r="A401" s="35" t="n"/>
      <c r="B401" s="25" t="n"/>
      <c r="C401" s="25">
        <f>IF($B401="","",IFERROR(INDEX('HỌC VIÊN'!$B$4:$B$203,MATCH($B401,'HỌC VIÊN'!$A$4:$A$203,0)),""))</f>
        <v/>
      </c>
      <c r="D401" s="25" t="n"/>
      <c r="E401" s="25" t="n"/>
      <c r="F401" s="25" t="n"/>
      <c r="G401" s="35" t="n"/>
    </row>
    <row r="402">
      <c r="A402" s="35" t="n"/>
      <c r="B402" s="25" t="n"/>
      <c r="C402" s="25">
        <f>IF($B402="","",IFERROR(INDEX('HỌC VIÊN'!$B$4:$B$203,MATCH($B402,'HỌC VIÊN'!$A$4:$A$203,0)),""))</f>
        <v/>
      </c>
      <c r="D402" s="25" t="n"/>
      <c r="E402" s="25" t="n"/>
      <c r="F402" s="25" t="n"/>
      <c r="G402" s="35" t="n"/>
    </row>
    <row r="403">
      <c r="A403" s="35" t="n"/>
      <c r="B403" s="25" t="n"/>
      <c r="C403" s="25">
        <f>IF($B403="","",IFERROR(INDEX('HỌC VIÊN'!$B$4:$B$203,MATCH($B403,'HỌC VIÊN'!$A$4:$A$203,0)),""))</f>
        <v/>
      </c>
      <c r="D403" s="25" t="n"/>
      <c r="E403" s="25" t="n"/>
      <c r="F403" s="25" t="n"/>
      <c r="G403" s="35" t="n"/>
    </row>
    <row r="404">
      <c r="A404" s="35" t="n"/>
      <c r="B404" s="25" t="n"/>
      <c r="C404" s="25">
        <f>IF($B404="","",IFERROR(INDEX('HỌC VIÊN'!$B$4:$B$203,MATCH($B404,'HỌC VIÊN'!$A$4:$A$203,0)),""))</f>
        <v/>
      </c>
      <c r="D404" s="25" t="n"/>
      <c r="E404" s="25" t="n"/>
      <c r="F404" s="25" t="n"/>
      <c r="G404" s="35" t="n"/>
    </row>
    <row r="405">
      <c r="A405" s="35" t="n"/>
      <c r="B405" s="25" t="n"/>
      <c r="C405" s="25">
        <f>IF($B405="","",IFERROR(INDEX('HỌC VIÊN'!$B$4:$B$203,MATCH($B405,'HỌC VIÊN'!$A$4:$A$203,0)),""))</f>
        <v/>
      </c>
      <c r="D405" s="25" t="n"/>
      <c r="E405" s="25" t="n"/>
      <c r="F405" s="25" t="n"/>
      <c r="G405" s="35" t="n"/>
    </row>
    <row r="406">
      <c r="A406" s="35" t="n"/>
      <c r="B406" s="25" t="n"/>
      <c r="C406" s="25">
        <f>IF($B406="","",IFERROR(INDEX('HỌC VIÊN'!$B$4:$B$203,MATCH($B406,'HỌC VIÊN'!$A$4:$A$203,0)),""))</f>
        <v/>
      </c>
      <c r="D406" s="25" t="n"/>
      <c r="E406" s="25" t="n"/>
      <c r="F406" s="25" t="n"/>
      <c r="G406" s="35" t="n"/>
    </row>
    <row r="407">
      <c r="A407" s="35" t="n"/>
      <c r="B407" s="25" t="n"/>
      <c r="C407" s="25">
        <f>IF($B407="","",IFERROR(INDEX('HỌC VIÊN'!$B$4:$B$203,MATCH($B407,'HỌC VIÊN'!$A$4:$A$203,0)),""))</f>
        <v/>
      </c>
      <c r="D407" s="25" t="n"/>
      <c r="E407" s="25" t="n"/>
      <c r="F407" s="25" t="n"/>
      <c r="G407" s="35" t="n"/>
    </row>
    <row r="408">
      <c r="A408" s="35" t="n"/>
      <c r="B408" s="25" t="n"/>
      <c r="C408" s="25">
        <f>IF($B408="","",IFERROR(INDEX('HỌC VIÊN'!$B$4:$B$203,MATCH($B408,'HỌC VIÊN'!$A$4:$A$203,0)),""))</f>
        <v/>
      </c>
      <c r="D408" s="25" t="n"/>
      <c r="E408" s="25" t="n"/>
      <c r="F408" s="25" t="n"/>
      <c r="G408" s="35" t="n"/>
    </row>
    <row r="409">
      <c r="A409" s="35" t="n"/>
      <c r="B409" s="25" t="n"/>
      <c r="C409" s="25">
        <f>IF($B409="","",IFERROR(INDEX('HỌC VIÊN'!$B$4:$B$203,MATCH($B409,'HỌC VIÊN'!$A$4:$A$203,0)),""))</f>
        <v/>
      </c>
      <c r="D409" s="25" t="n"/>
      <c r="E409" s="25" t="n"/>
      <c r="F409" s="25" t="n"/>
      <c r="G409" s="35" t="n"/>
    </row>
    <row r="410">
      <c r="A410" s="35" t="n"/>
      <c r="B410" s="25" t="n"/>
      <c r="C410" s="25">
        <f>IF($B410="","",IFERROR(INDEX('HỌC VIÊN'!$B$4:$B$203,MATCH($B410,'HỌC VIÊN'!$A$4:$A$203,0)),""))</f>
        <v/>
      </c>
      <c r="D410" s="25" t="n"/>
      <c r="E410" s="25" t="n"/>
      <c r="F410" s="25" t="n"/>
      <c r="G410" s="35" t="n"/>
    </row>
    <row r="411">
      <c r="A411" s="35" t="n"/>
      <c r="B411" s="25" t="n"/>
      <c r="C411" s="25">
        <f>IF($B411="","",IFERROR(INDEX('HỌC VIÊN'!$B$4:$B$203,MATCH($B411,'HỌC VIÊN'!$A$4:$A$203,0)),""))</f>
        <v/>
      </c>
      <c r="D411" s="25" t="n"/>
      <c r="E411" s="25" t="n"/>
      <c r="F411" s="25" t="n"/>
      <c r="G411" s="35" t="n"/>
    </row>
    <row r="412">
      <c r="A412" s="35" t="n"/>
      <c r="B412" s="25" t="n"/>
      <c r="C412" s="25">
        <f>IF($B412="","",IFERROR(INDEX('HỌC VIÊN'!$B$4:$B$203,MATCH($B412,'HỌC VIÊN'!$A$4:$A$203,0)),""))</f>
        <v/>
      </c>
      <c r="D412" s="25" t="n"/>
      <c r="E412" s="25" t="n"/>
      <c r="F412" s="25" t="n"/>
      <c r="G412" s="35" t="n"/>
    </row>
    <row r="413">
      <c r="A413" s="35" t="n"/>
      <c r="B413" s="25" t="n"/>
      <c r="C413" s="25">
        <f>IF($B413="","",IFERROR(INDEX('HỌC VIÊN'!$B$4:$B$203,MATCH($B413,'HỌC VIÊN'!$A$4:$A$203,0)),""))</f>
        <v/>
      </c>
      <c r="D413" s="25" t="n"/>
      <c r="E413" s="25" t="n"/>
      <c r="F413" s="25" t="n"/>
      <c r="G413" s="35" t="n"/>
    </row>
    <row r="414">
      <c r="A414" s="35" t="n"/>
      <c r="B414" s="25" t="n"/>
      <c r="C414" s="25">
        <f>IF($B414="","",IFERROR(INDEX('HỌC VIÊN'!$B$4:$B$203,MATCH($B414,'HỌC VIÊN'!$A$4:$A$203,0)),""))</f>
        <v/>
      </c>
      <c r="D414" s="25" t="n"/>
      <c r="E414" s="25" t="n"/>
      <c r="F414" s="25" t="n"/>
      <c r="G414" s="35" t="n"/>
    </row>
    <row r="415">
      <c r="A415" s="35" t="n"/>
      <c r="B415" s="25" t="n"/>
      <c r="C415" s="25">
        <f>IF($B415="","",IFERROR(INDEX('HỌC VIÊN'!$B$4:$B$203,MATCH($B415,'HỌC VIÊN'!$A$4:$A$203,0)),""))</f>
        <v/>
      </c>
      <c r="D415" s="25" t="n"/>
      <c r="E415" s="25" t="n"/>
      <c r="F415" s="25" t="n"/>
      <c r="G415" s="35" t="n"/>
    </row>
    <row r="416">
      <c r="A416" s="35" t="n"/>
      <c r="B416" s="25" t="n"/>
      <c r="C416" s="25">
        <f>IF($B416="","",IFERROR(INDEX('HỌC VIÊN'!$B$4:$B$203,MATCH($B416,'HỌC VIÊN'!$A$4:$A$203,0)),""))</f>
        <v/>
      </c>
      <c r="D416" s="25" t="n"/>
      <c r="E416" s="25" t="n"/>
      <c r="F416" s="25" t="n"/>
      <c r="G416" s="35" t="n"/>
    </row>
    <row r="417">
      <c r="A417" s="35" t="n"/>
      <c r="B417" s="25" t="n"/>
      <c r="C417" s="25">
        <f>IF($B417="","",IFERROR(INDEX('HỌC VIÊN'!$B$4:$B$203,MATCH($B417,'HỌC VIÊN'!$A$4:$A$203,0)),""))</f>
        <v/>
      </c>
      <c r="D417" s="25" t="n"/>
      <c r="E417" s="25" t="n"/>
      <c r="F417" s="25" t="n"/>
      <c r="G417" s="35" t="n"/>
    </row>
    <row r="418">
      <c r="A418" s="35" t="n"/>
      <c r="B418" s="25" t="n"/>
      <c r="C418" s="25">
        <f>IF($B418="","",IFERROR(INDEX('HỌC VIÊN'!$B$4:$B$203,MATCH($B418,'HỌC VIÊN'!$A$4:$A$203,0)),""))</f>
        <v/>
      </c>
      <c r="D418" s="25" t="n"/>
      <c r="E418" s="25" t="n"/>
      <c r="F418" s="25" t="n"/>
      <c r="G418" s="35" t="n"/>
    </row>
    <row r="419">
      <c r="A419" s="35" t="n"/>
      <c r="B419" s="25" t="n"/>
      <c r="C419" s="25">
        <f>IF($B419="","",IFERROR(INDEX('HỌC VIÊN'!$B$4:$B$203,MATCH($B419,'HỌC VIÊN'!$A$4:$A$203,0)),""))</f>
        <v/>
      </c>
      <c r="D419" s="25" t="n"/>
      <c r="E419" s="25" t="n"/>
      <c r="F419" s="25" t="n"/>
      <c r="G419" s="35" t="n"/>
    </row>
    <row r="420">
      <c r="A420" s="35" t="n"/>
      <c r="B420" s="25" t="n"/>
      <c r="C420" s="25">
        <f>IF($B420="","",IFERROR(INDEX('HỌC VIÊN'!$B$4:$B$203,MATCH($B420,'HỌC VIÊN'!$A$4:$A$203,0)),""))</f>
        <v/>
      </c>
      <c r="D420" s="25" t="n"/>
      <c r="E420" s="25" t="n"/>
      <c r="F420" s="25" t="n"/>
      <c r="G420" s="35" t="n"/>
    </row>
    <row r="421">
      <c r="A421" s="35" t="n"/>
      <c r="B421" s="25" t="n"/>
      <c r="C421" s="25">
        <f>IF($B421="","",IFERROR(INDEX('HỌC VIÊN'!$B$4:$B$203,MATCH($B421,'HỌC VIÊN'!$A$4:$A$203,0)),""))</f>
        <v/>
      </c>
      <c r="D421" s="25" t="n"/>
      <c r="E421" s="25" t="n"/>
      <c r="F421" s="25" t="n"/>
      <c r="G421" s="35" t="n"/>
    </row>
    <row r="422">
      <c r="A422" s="35" t="n"/>
      <c r="B422" s="25" t="n"/>
      <c r="C422" s="25">
        <f>IF($B422="","",IFERROR(INDEX('HỌC VIÊN'!$B$4:$B$203,MATCH($B422,'HỌC VIÊN'!$A$4:$A$203,0)),""))</f>
        <v/>
      </c>
      <c r="D422" s="25" t="n"/>
      <c r="E422" s="25" t="n"/>
      <c r="F422" s="25" t="n"/>
      <c r="G422" s="35" t="n"/>
    </row>
    <row r="423">
      <c r="A423" s="35" t="n"/>
      <c r="B423" s="25" t="n"/>
      <c r="C423" s="25">
        <f>IF($B423="","",IFERROR(INDEX('HỌC VIÊN'!$B$4:$B$203,MATCH($B423,'HỌC VIÊN'!$A$4:$A$203,0)),""))</f>
        <v/>
      </c>
      <c r="D423" s="25" t="n"/>
      <c r="E423" s="25" t="n"/>
      <c r="F423" s="25" t="n"/>
      <c r="G423" s="35" t="n"/>
    </row>
    <row r="424">
      <c r="A424" s="35" t="n"/>
      <c r="B424" s="25" t="n"/>
      <c r="C424" s="25">
        <f>IF($B424="","",IFERROR(INDEX('HỌC VIÊN'!$B$4:$B$203,MATCH($B424,'HỌC VIÊN'!$A$4:$A$203,0)),""))</f>
        <v/>
      </c>
      <c r="D424" s="25" t="n"/>
      <c r="E424" s="25" t="n"/>
      <c r="F424" s="25" t="n"/>
      <c r="G424" s="35" t="n"/>
    </row>
    <row r="425">
      <c r="A425" s="35" t="n"/>
      <c r="B425" s="25" t="n"/>
      <c r="C425" s="25">
        <f>IF($B425="","",IFERROR(INDEX('HỌC VIÊN'!$B$4:$B$203,MATCH($B425,'HỌC VIÊN'!$A$4:$A$203,0)),""))</f>
        <v/>
      </c>
      <c r="D425" s="25" t="n"/>
      <c r="E425" s="25" t="n"/>
      <c r="F425" s="25" t="n"/>
      <c r="G425" s="35" t="n"/>
    </row>
    <row r="426">
      <c r="A426" s="35" t="n"/>
      <c r="B426" s="25" t="n"/>
      <c r="C426" s="25">
        <f>IF($B426="","",IFERROR(INDEX('HỌC VIÊN'!$B$4:$B$203,MATCH($B426,'HỌC VIÊN'!$A$4:$A$203,0)),""))</f>
        <v/>
      </c>
      <c r="D426" s="25" t="n"/>
      <c r="E426" s="25" t="n"/>
      <c r="F426" s="25" t="n"/>
      <c r="G426" s="35" t="n"/>
    </row>
    <row r="427">
      <c r="A427" s="35" t="n"/>
      <c r="B427" s="25" t="n"/>
      <c r="C427" s="25">
        <f>IF($B427="","",IFERROR(INDEX('HỌC VIÊN'!$B$4:$B$203,MATCH($B427,'HỌC VIÊN'!$A$4:$A$203,0)),""))</f>
        <v/>
      </c>
      <c r="D427" s="25" t="n"/>
      <c r="E427" s="25" t="n"/>
      <c r="F427" s="25" t="n"/>
      <c r="G427" s="35" t="n"/>
    </row>
    <row r="428">
      <c r="A428" s="35" t="n"/>
      <c r="B428" s="25" t="n"/>
      <c r="C428" s="25">
        <f>IF($B428="","",IFERROR(INDEX('HỌC VIÊN'!$B$4:$B$203,MATCH($B428,'HỌC VIÊN'!$A$4:$A$203,0)),""))</f>
        <v/>
      </c>
      <c r="D428" s="25" t="n"/>
      <c r="E428" s="25" t="n"/>
      <c r="F428" s="25" t="n"/>
      <c r="G428" s="35" t="n"/>
    </row>
    <row r="429">
      <c r="A429" s="35" t="n"/>
      <c r="B429" s="25" t="n"/>
      <c r="C429" s="25">
        <f>IF($B429="","",IFERROR(INDEX('HỌC VIÊN'!$B$4:$B$203,MATCH($B429,'HỌC VIÊN'!$A$4:$A$203,0)),""))</f>
        <v/>
      </c>
      <c r="D429" s="25" t="n"/>
      <c r="E429" s="25" t="n"/>
      <c r="F429" s="25" t="n"/>
      <c r="G429" s="35" t="n"/>
    </row>
    <row r="430">
      <c r="A430" s="35" t="n"/>
      <c r="B430" s="25" t="n"/>
      <c r="C430" s="25">
        <f>IF($B430="","",IFERROR(INDEX('HỌC VIÊN'!$B$4:$B$203,MATCH($B430,'HỌC VIÊN'!$A$4:$A$203,0)),""))</f>
        <v/>
      </c>
      <c r="D430" s="25" t="n"/>
      <c r="E430" s="25" t="n"/>
      <c r="F430" s="25" t="n"/>
      <c r="G430" s="35" t="n"/>
    </row>
    <row r="431">
      <c r="A431" s="35" t="n"/>
      <c r="B431" s="25" t="n"/>
      <c r="C431" s="25">
        <f>IF($B431="","",IFERROR(INDEX('HỌC VIÊN'!$B$4:$B$203,MATCH($B431,'HỌC VIÊN'!$A$4:$A$203,0)),""))</f>
        <v/>
      </c>
      <c r="D431" s="25" t="n"/>
      <c r="E431" s="25" t="n"/>
      <c r="F431" s="25" t="n"/>
      <c r="G431" s="35" t="n"/>
    </row>
    <row r="432">
      <c r="A432" s="35" t="n"/>
      <c r="B432" s="25" t="n"/>
      <c r="C432" s="25">
        <f>IF($B432="","",IFERROR(INDEX('HỌC VIÊN'!$B$4:$B$203,MATCH($B432,'HỌC VIÊN'!$A$4:$A$203,0)),""))</f>
        <v/>
      </c>
      <c r="D432" s="25" t="n"/>
      <c r="E432" s="25" t="n"/>
      <c r="F432" s="25" t="n"/>
      <c r="G432" s="35" t="n"/>
    </row>
    <row r="433">
      <c r="A433" s="35" t="n"/>
      <c r="B433" s="25" t="n"/>
      <c r="C433" s="25">
        <f>IF($B433="","",IFERROR(INDEX('HỌC VIÊN'!$B$4:$B$203,MATCH($B433,'HỌC VIÊN'!$A$4:$A$203,0)),""))</f>
        <v/>
      </c>
      <c r="D433" s="25" t="n"/>
      <c r="E433" s="25" t="n"/>
      <c r="F433" s="25" t="n"/>
      <c r="G433" s="35" t="n"/>
    </row>
    <row r="434">
      <c r="A434" s="35" t="n"/>
      <c r="B434" s="25" t="n"/>
      <c r="C434" s="25">
        <f>IF($B434="","",IFERROR(INDEX('HỌC VIÊN'!$B$4:$B$203,MATCH($B434,'HỌC VIÊN'!$A$4:$A$203,0)),""))</f>
        <v/>
      </c>
      <c r="D434" s="25" t="n"/>
      <c r="E434" s="25" t="n"/>
      <c r="F434" s="25" t="n"/>
      <c r="G434" s="35" t="n"/>
    </row>
    <row r="435">
      <c r="A435" s="35" t="n"/>
      <c r="B435" s="25" t="n"/>
      <c r="C435" s="25">
        <f>IF($B435="","",IFERROR(INDEX('HỌC VIÊN'!$B$4:$B$203,MATCH($B435,'HỌC VIÊN'!$A$4:$A$203,0)),""))</f>
        <v/>
      </c>
      <c r="D435" s="25" t="n"/>
      <c r="E435" s="25" t="n"/>
      <c r="F435" s="25" t="n"/>
      <c r="G435" s="35" t="n"/>
    </row>
    <row r="436">
      <c r="A436" s="35" t="n"/>
      <c r="B436" s="25" t="n"/>
      <c r="C436" s="25">
        <f>IF($B436="","",IFERROR(INDEX('HỌC VIÊN'!$B$4:$B$203,MATCH($B436,'HỌC VIÊN'!$A$4:$A$203,0)),""))</f>
        <v/>
      </c>
      <c r="D436" s="25" t="n"/>
      <c r="E436" s="25" t="n"/>
      <c r="F436" s="25" t="n"/>
      <c r="G436" s="35" t="n"/>
    </row>
    <row r="437">
      <c r="A437" s="35" t="n"/>
      <c r="B437" s="25" t="n"/>
      <c r="C437" s="25">
        <f>IF($B437="","",IFERROR(INDEX('HỌC VIÊN'!$B$4:$B$203,MATCH($B437,'HỌC VIÊN'!$A$4:$A$203,0)),""))</f>
        <v/>
      </c>
      <c r="D437" s="25" t="n"/>
      <c r="E437" s="25" t="n"/>
      <c r="F437" s="25" t="n"/>
      <c r="G437" s="35" t="n"/>
    </row>
    <row r="438">
      <c r="A438" s="35" t="n"/>
      <c r="B438" s="25" t="n"/>
      <c r="C438" s="25">
        <f>IF($B438="","",IFERROR(INDEX('HỌC VIÊN'!$B$4:$B$203,MATCH($B438,'HỌC VIÊN'!$A$4:$A$203,0)),""))</f>
        <v/>
      </c>
      <c r="D438" s="25" t="n"/>
      <c r="E438" s="25" t="n"/>
      <c r="F438" s="25" t="n"/>
      <c r="G438" s="35" t="n"/>
    </row>
    <row r="439">
      <c r="A439" s="35" t="n"/>
      <c r="B439" s="25" t="n"/>
      <c r="C439" s="25">
        <f>IF($B439="","",IFERROR(INDEX('HỌC VIÊN'!$B$4:$B$203,MATCH($B439,'HỌC VIÊN'!$A$4:$A$203,0)),""))</f>
        <v/>
      </c>
      <c r="D439" s="25" t="n"/>
      <c r="E439" s="25" t="n"/>
      <c r="F439" s="25" t="n"/>
      <c r="G439" s="35" t="n"/>
    </row>
    <row r="440">
      <c r="A440" s="35" t="n"/>
      <c r="B440" s="25" t="n"/>
      <c r="C440" s="25">
        <f>IF($B440="","",IFERROR(INDEX('HỌC VIÊN'!$B$4:$B$203,MATCH($B440,'HỌC VIÊN'!$A$4:$A$203,0)),""))</f>
        <v/>
      </c>
      <c r="D440" s="25" t="n"/>
      <c r="E440" s="25" t="n"/>
      <c r="F440" s="25" t="n"/>
      <c r="G440" s="35" t="n"/>
    </row>
    <row r="441">
      <c r="A441" s="35" t="n"/>
      <c r="B441" s="25" t="n"/>
      <c r="C441" s="25">
        <f>IF($B441="","",IFERROR(INDEX('HỌC VIÊN'!$B$4:$B$203,MATCH($B441,'HỌC VIÊN'!$A$4:$A$203,0)),""))</f>
        <v/>
      </c>
      <c r="D441" s="25" t="n"/>
      <c r="E441" s="25" t="n"/>
      <c r="F441" s="25" t="n"/>
      <c r="G441" s="35" t="n"/>
    </row>
    <row r="442">
      <c r="A442" s="35" t="n"/>
      <c r="B442" s="25" t="n"/>
      <c r="C442" s="25">
        <f>IF($B442="","",IFERROR(INDEX('HỌC VIÊN'!$B$4:$B$203,MATCH($B442,'HỌC VIÊN'!$A$4:$A$203,0)),""))</f>
        <v/>
      </c>
      <c r="D442" s="25" t="n"/>
      <c r="E442" s="25" t="n"/>
      <c r="F442" s="25" t="n"/>
      <c r="G442" s="35" t="n"/>
    </row>
    <row r="443">
      <c r="A443" s="35" t="n"/>
      <c r="B443" s="25" t="n"/>
      <c r="C443" s="25">
        <f>IF($B443="","",IFERROR(INDEX('HỌC VIÊN'!$B$4:$B$203,MATCH($B443,'HỌC VIÊN'!$A$4:$A$203,0)),""))</f>
        <v/>
      </c>
      <c r="D443" s="25" t="n"/>
      <c r="E443" s="25" t="n"/>
      <c r="F443" s="25" t="n"/>
      <c r="G443" s="35" t="n"/>
    </row>
    <row r="444">
      <c r="A444" s="35" t="n"/>
      <c r="B444" s="25" t="n"/>
      <c r="C444" s="25">
        <f>IF($B444="","",IFERROR(INDEX('HỌC VIÊN'!$B$4:$B$203,MATCH($B444,'HỌC VIÊN'!$A$4:$A$203,0)),""))</f>
        <v/>
      </c>
      <c r="D444" s="25" t="n"/>
      <c r="E444" s="25" t="n"/>
      <c r="F444" s="25" t="n"/>
      <c r="G444" s="35" t="n"/>
    </row>
    <row r="445">
      <c r="A445" s="35" t="n"/>
      <c r="B445" s="25" t="n"/>
      <c r="C445" s="25">
        <f>IF($B445="","",IFERROR(INDEX('HỌC VIÊN'!$B$4:$B$203,MATCH($B445,'HỌC VIÊN'!$A$4:$A$203,0)),""))</f>
        <v/>
      </c>
      <c r="D445" s="25" t="n"/>
      <c r="E445" s="25" t="n"/>
      <c r="F445" s="25" t="n"/>
      <c r="G445" s="35" t="n"/>
    </row>
    <row r="446">
      <c r="A446" s="35" t="n"/>
      <c r="B446" s="25" t="n"/>
      <c r="C446" s="25">
        <f>IF($B446="","",IFERROR(INDEX('HỌC VIÊN'!$B$4:$B$203,MATCH($B446,'HỌC VIÊN'!$A$4:$A$203,0)),""))</f>
        <v/>
      </c>
      <c r="D446" s="25" t="n"/>
      <c r="E446" s="25" t="n"/>
      <c r="F446" s="25" t="n"/>
      <c r="G446" s="35" t="n"/>
    </row>
    <row r="447">
      <c r="A447" s="35" t="n"/>
      <c r="B447" s="25" t="n"/>
      <c r="C447" s="25">
        <f>IF($B447="","",IFERROR(INDEX('HỌC VIÊN'!$B$4:$B$203,MATCH($B447,'HỌC VIÊN'!$A$4:$A$203,0)),""))</f>
        <v/>
      </c>
      <c r="D447" s="25" t="n"/>
      <c r="E447" s="25" t="n"/>
      <c r="F447" s="25" t="n"/>
      <c r="G447" s="35" t="n"/>
    </row>
    <row r="448">
      <c r="A448" s="35" t="n"/>
      <c r="B448" s="25" t="n"/>
      <c r="C448" s="25">
        <f>IF($B448="","",IFERROR(INDEX('HỌC VIÊN'!$B$4:$B$203,MATCH($B448,'HỌC VIÊN'!$A$4:$A$203,0)),""))</f>
        <v/>
      </c>
      <c r="D448" s="25" t="n"/>
      <c r="E448" s="25" t="n"/>
      <c r="F448" s="25" t="n"/>
      <c r="G448" s="35" t="n"/>
    </row>
    <row r="449">
      <c r="A449" s="35" t="n"/>
      <c r="B449" s="25" t="n"/>
      <c r="C449" s="25">
        <f>IF($B449="","",IFERROR(INDEX('HỌC VIÊN'!$B$4:$B$203,MATCH($B449,'HỌC VIÊN'!$A$4:$A$203,0)),""))</f>
        <v/>
      </c>
      <c r="D449" s="25" t="n"/>
      <c r="E449" s="25" t="n"/>
      <c r="F449" s="25" t="n"/>
      <c r="G449" s="35" t="n"/>
    </row>
    <row r="450">
      <c r="A450" s="35" t="n"/>
      <c r="B450" s="25" t="n"/>
      <c r="C450" s="25">
        <f>IF($B450="","",IFERROR(INDEX('HỌC VIÊN'!$B$4:$B$203,MATCH($B450,'HỌC VIÊN'!$A$4:$A$203,0)),""))</f>
        <v/>
      </c>
      <c r="D450" s="25" t="n"/>
      <c r="E450" s="25" t="n"/>
      <c r="F450" s="25" t="n"/>
      <c r="G450" s="35" t="n"/>
    </row>
    <row r="451">
      <c r="A451" s="35" t="n"/>
      <c r="B451" s="25" t="n"/>
      <c r="C451" s="25">
        <f>IF($B451="","",IFERROR(INDEX('HỌC VIÊN'!$B$4:$B$203,MATCH($B451,'HỌC VIÊN'!$A$4:$A$203,0)),""))</f>
        <v/>
      </c>
      <c r="D451" s="25" t="n"/>
      <c r="E451" s="25" t="n"/>
      <c r="F451" s="25" t="n"/>
      <c r="G451" s="35" t="n"/>
    </row>
    <row r="452">
      <c r="A452" s="35" t="n"/>
      <c r="B452" s="25" t="n"/>
      <c r="C452" s="25">
        <f>IF($B452="","",IFERROR(INDEX('HỌC VIÊN'!$B$4:$B$203,MATCH($B452,'HỌC VIÊN'!$A$4:$A$203,0)),""))</f>
        <v/>
      </c>
      <c r="D452" s="25" t="n"/>
      <c r="E452" s="25" t="n"/>
      <c r="F452" s="25" t="n"/>
      <c r="G452" s="35" t="n"/>
    </row>
    <row r="453">
      <c r="A453" s="35" t="n"/>
      <c r="B453" s="25" t="n"/>
      <c r="C453" s="25">
        <f>IF($B453="","",IFERROR(INDEX('HỌC VIÊN'!$B$4:$B$203,MATCH($B453,'HỌC VIÊN'!$A$4:$A$203,0)),""))</f>
        <v/>
      </c>
      <c r="D453" s="25" t="n"/>
      <c r="E453" s="25" t="n"/>
      <c r="F453" s="25" t="n"/>
      <c r="G453" s="35" t="n"/>
    </row>
    <row r="454">
      <c r="A454" s="35" t="n"/>
      <c r="B454" s="25" t="n"/>
      <c r="C454" s="25">
        <f>IF($B454="","",IFERROR(INDEX('HỌC VIÊN'!$B$4:$B$203,MATCH($B454,'HỌC VIÊN'!$A$4:$A$203,0)),""))</f>
        <v/>
      </c>
      <c r="D454" s="25" t="n"/>
      <c r="E454" s="25" t="n"/>
      <c r="F454" s="25" t="n"/>
      <c r="G454" s="35" t="n"/>
    </row>
    <row r="455">
      <c r="A455" s="35" t="n"/>
      <c r="B455" s="25" t="n"/>
      <c r="C455" s="25">
        <f>IF($B455="","",IFERROR(INDEX('HỌC VIÊN'!$B$4:$B$203,MATCH($B455,'HỌC VIÊN'!$A$4:$A$203,0)),""))</f>
        <v/>
      </c>
      <c r="D455" s="25" t="n"/>
      <c r="E455" s="25" t="n"/>
      <c r="F455" s="25" t="n"/>
      <c r="G455" s="35" t="n"/>
    </row>
    <row r="456">
      <c r="A456" s="35" t="n"/>
      <c r="B456" s="25" t="n"/>
      <c r="C456" s="25">
        <f>IF($B456="","",IFERROR(INDEX('HỌC VIÊN'!$B$4:$B$203,MATCH($B456,'HỌC VIÊN'!$A$4:$A$203,0)),""))</f>
        <v/>
      </c>
      <c r="D456" s="25" t="n"/>
      <c r="E456" s="25" t="n"/>
      <c r="F456" s="25" t="n"/>
      <c r="G456" s="35" t="n"/>
    </row>
    <row r="457">
      <c r="A457" s="35" t="n"/>
      <c r="B457" s="25" t="n"/>
      <c r="C457" s="25">
        <f>IF($B457="","",IFERROR(INDEX('HỌC VIÊN'!$B$4:$B$203,MATCH($B457,'HỌC VIÊN'!$A$4:$A$203,0)),""))</f>
        <v/>
      </c>
      <c r="D457" s="25" t="n"/>
      <c r="E457" s="25" t="n"/>
      <c r="F457" s="25" t="n"/>
      <c r="G457" s="35" t="n"/>
    </row>
    <row r="458">
      <c r="A458" s="35" t="n"/>
      <c r="B458" s="25" t="n"/>
      <c r="C458" s="25">
        <f>IF($B458="","",IFERROR(INDEX('HỌC VIÊN'!$B$4:$B$203,MATCH($B458,'HỌC VIÊN'!$A$4:$A$203,0)),""))</f>
        <v/>
      </c>
      <c r="D458" s="25" t="n"/>
      <c r="E458" s="25" t="n"/>
      <c r="F458" s="25" t="n"/>
      <c r="G458" s="35" t="n"/>
    </row>
    <row r="459">
      <c r="A459" s="35" t="n"/>
      <c r="B459" s="25" t="n"/>
      <c r="C459" s="25">
        <f>IF($B459="","",IFERROR(INDEX('HỌC VIÊN'!$B$4:$B$203,MATCH($B459,'HỌC VIÊN'!$A$4:$A$203,0)),""))</f>
        <v/>
      </c>
      <c r="D459" s="25" t="n"/>
      <c r="E459" s="25" t="n"/>
      <c r="F459" s="25" t="n"/>
      <c r="G459" s="35" t="n"/>
    </row>
    <row r="460">
      <c r="A460" s="35" t="n"/>
      <c r="B460" s="25" t="n"/>
      <c r="C460" s="25">
        <f>IF($B460="","",IFERROR(INDEX('HỌC VIÊN'!$B$4:$B$203,MATCH($B460,'HỌC VIÊN'!$A$4:$A$203,0)),""))</f>
        <v/>
      </c>
      <c r="D460" s="25" t="n"/>
      <c r="E460" s="25" t="n"/>
      <c r="F460" s="25" t="n"/>
      <c r="G460" s="35" t="n"/>
    </row>
    <row r="461">
      <c r="A461" s="35" t="n"/>
      <c r="B461" s="25" t="n"/>
      <c r="C461" s="25">
        <f>IF($B461="","",IFERROR(INDEX('HỌC VIÊN'!$B$4:$B$203,MATCH($B461,'HỌC VIÊN'!$A$4:$A$203,0)),""))</f>
        <v/>
      </c>
      <c r="D461" s="25" t="n"/>
      <c r="E461" s="25" t="n"/>
      <c r="F461" s="25" t="n"/>
      <c r="G461" s="35" t="n"/>
    </row>
    <row r="462">
      <c r="A462" s="35" t="n"/>
      <c r="B462" s="25" t="n"/>
      <c r="C462" s="25">
        <f>IF($B462="","",IFERROR(INDEX('HỌC VIÊN'!$B$4:$B$203,MATCH($B462,'HỌC VIÊN'!$A$4:$A$203,0)),""))</f>
        <v/>
      </c>
      <c r="D462" s="25" t="n"/>
      <c r="E462" s="25" t="n"/>
      <c r="F462" s="25" t="n"/>
      <c r="G462" s="35" t="n"/>
    </row>
    <row r="463">
      <c r="A463" s="35" t="n"/>
      <c r="B463" s="25" t="n"/>
      <c r="C463" s="25">
        <f>IF($B463="","",IFERROR(INDEX('HỌC VIÊN'!$B$4:$B$203,MATCH($B463,'HỌC VIÊN'!$A$4:$A$203,0)),""))</f>
        <v/>
      </c>
      <c r="D463" s="25" t="n"/>
      <c r="E463" s="25" t="n"/>
      <c r="F463" s="25" t="n"/>
      <c r="G463" s="35" t="n"/>
    </row>
    <row r="464">
      <c r="A464" s="35" t="n"/>
      <c r="B464" s="25" t="n"/>
      <c r="C464" s="25">
        <f>IF($B464="","",IFERROR(INDEX('HỌC VIÊN'!$B$4:$B$203,MATCH($B464,'HỌC VIÊN'!$A$4:$A$203,0)),""))</f>
        <v/>
      </c>
      <c r="D464" s="25" t="n"/>
      <c r="E464" s="25" t="n"/>
      <c r="F464" s="25" t="n"/>
      <c r="G464" s="35" t="n"/>
    </row>
    <row r="465">
      <c r="A465" s="35" t="n"/>
      <c r="B465" s="25" t="n"/>
      <c r="C465" s="25">
        <f>IF($B465="","",IFERROR(INDEX('HỌC VIÊN'!$B$4:$B$203,MATCH($B465,'HỌC VIÊN'!$A$4:$A$203,0)),""))</f>
        <v/>
      </c>
      <c r="D465" s="25" t="n"/>
      <c r="E465" s="25" t="n"/>
      <c r="F465" s="25" t="n"/>
      <c r="G465" s="35" t="n"/>
    </row>
    <row r="466">
      <c r="A466" s="35" t="n"/>
      <c r="B466" s="25" t="n"/>
      <c r="C466" s="25">
        <f>IF($B466="","",IFERROR(INDEX('HỌC VIÊN'!$B$4:$B$203,MATCH($B466,'HỌC VIÊN'!$A$4:$A$203,0)),""))</f>
        <v/>
      </c>
      <c r="D466" s="25" t="n"/>
      <c r="E466" s="25" t="n"/>
      <c r="F466" s="25" t="n"/>
      <c r="G466" s="35" t="n"/>
    </row>
    <row r="467">
      <c r="A467" s="35" t="n"/>
      <c r="B467" s="25" t="n"/>
      <c r="C467" s="25">
        <f>IF($B467="","",IFERROR(INDEX('HỌC VIÊN'!$B$4:$B$203,MATCH($B467,'HỌC VIÊN'!$A$4:$A$203,0)),""))</f>
        <v/>
      </c>
      <c r="D467" s="25" t="n"/>
      <c r="E467" s="25" t="n"/>
      <c r="F467" s="25" t="n"/>
      <c r="G467" s="35" t="n"/>
    </row>
    <row r="468">
      <c r="A468" s="35" t="n"/>
      <c r="B468" s="25" t="n"/>
      <c r="C468" s="25">
        <f>IF($B468="","",IFERROR(INDEX('HỌC VIÊN'!$B$4:$B$203,MATCH($B468,'HỌC VIÊN'!$A$4:$A$203,0)),""))</f>
        <v/>
      </c>
      <c r="D468" s="25" t="n"/>
      <c r="E468" s="25" t="n"/>
      <c r="F468" s="25" t="n"/>
      <c r="G468" s="35" t="n"/>
    </row>
    <row r="469">
      <c r="A469" s="35" t="n"/>
      <c r="B469" s="25" t="n"/>
      <c r="C469" s="25">
        <f>IF($B469="","",IFERROR(INDEX('HỌC VIÊN'!$B$4:$B$203,MATCH($B469,'HỌC VIÊN'!$A$4:$A$203,0)),""))</f>
        <v/>
      </c>
      <c r="D469" s="25" t="n"/>
      <c r="E469" s="25" t="n"/>
      <c r="F469" s="25" t="n"/>
      <c r="G469" s="35" t="n"/>
    </row>
    <row r="470">
      <c r="A470" s="35" t="n"/>
      <c r="B470" s="25" t="n"/>
      <c r="C470" s="25">
        <f>IF($B470="","",IFERROR(INDEX('HỌC VIÊN'!$B$4:$B$203,MATCH($B470,'HỌC VIÊN'!$A$4:$A$203,0)),""))</f>
        <v/>
      </c>
      <c r="D470" s="25" t="n"/>
      <c r="E470" s="25" t="n"/>
      <c r="F470" s="25" t="n"/>
      <c r="G470" s="35" t="n"/>
    </row>
    <row r="471">
      <c r="A471" s="35" t="n"/>
      <c r="B471" s="25" t="n"/>
      <c r="C471" s="25">
        <f>IF($B471="","",IFERROR(INDEX('HỌC VIÊN'!$B$4:$B$203,MATCH($B471,'HỌC VIÊN'!$A$4:$A$203,0)),""))</f>
        <v/>
      </c>
      <c r="D471" s="25" t="n"/>
      <c r="E471" s="25" t="n"/>
      <c r="F471" s="25" t="n"/>
      <c r="G471" s="35" t="n"/>
    </row>
    <row r="472">
      <c r="A472" s="35" t="n"/>
      <c r="B472" s="25" t="n"/>
      <c r="C472" s="25">
        <f>IF($B472="","",IFERROR(INDEX('HỌC VIÊN'!$B$4:$B$203,MATCH($B472,'HỌC VIÊN'!$A$4:$A$203,0)),""))</f>
        <v/>
      </c>
      <c r="D472" s="25" t="n"/>
      <c r="E472" s="25" t="n"/>
      <c r="F472" s="25" t="n"/>
      <c r="G472" s="35" t="n"/>
    </row>
    <row r="473">
      <c r="A473" s="35" t="n"/>
      <c r="B473" s="25" t="n"/>
      <c r="C473" s="25">
        <f>IF($B473="","",IFERROR(INDEX('HỌC VIÊN'!$B$4:$B$203,MATCH($B473,'HỌC VIÊN'!$A$4:$A$203,0)),""))</f>
        <v/>
      </c>
      <c r="D473" s="25" t="n"/>
      <c r="E473" s="25" t="n"/>
      <c r="F473" s="25" t="n"/>
      <c r="G473" s="35" t="n"/>
    </row>
    <row r="474">
      <c r="A474" s="35" t="n"/>
      <c r="B474" s="25" t="n"/>
      <c r="C474" s="25">
        <f>IF($B474="","",IFERROR(INDEX('HỌC VIÊN'!$B$4:$B$203,MATCH($B474,'HỌC VIÊN'!$A$4:$A$203,0)),""))</f>
        <v/>
      </c>
      <c r="D474" s="25" t="n"/>
      <c r="E474" s="25" t="n"/>
      <c r="F474" s="25" t="n"/>
      <c r="G474" s="35" t="n"/>
    </row>
    <row r="475">
      <c r="A475" s="35" t="n"/>
      <c r="B475" s="25" t="n"/>
      <c r="C475" s="25">
        <f>IF($B475="","",IFERROR(INDEX('HỌC VIÊN'!$B$4:$B$203,MATCH($B475,'HỌC VIÊN'!$A$4:$A$203,0)),""))</f>
        <v/>
      </c>
      <c r="D475" s="25" t="n"/>
      <c r="E475" s="25" t="n"/>
      <c r="F475" s="25" t="n"/>
      <c r="G475" s="35" t="n"/>
    </row>
    <row r="476">
      <c r="A476" s="35" t="n"/>
      <c r="B476" s="25" t="n"/>
      <c r="C476" s="25">
        <f>IF($B476="","",IFERROR(INDEX('HỌC VIÊN'!$B$4:$B$203,MATCH($B476,'HỌC VIÊN'!$A$4:$A$203,0)),""))</f>
        <v/>
      </c>
      <c r="D476" s="25" t="n"/>
      <c r="E476" s="25" t="n"/>
      <c r="F476" s="25" t="n"/>
      <c r="G476" s="35" t="n"/>
    </row>
    <row r="477">
      <c r="A477" s="35" t="n"/>
      <c r="B477" s="25" t="n"/>
      <c r="C477" s="25">
        <f>IF($B477="","",IFERROR(INDEX('HỌC VIÊN'!$B$4:$B$203,MATCH($B477,'HỌC VIÊN'!$A$4:$A$203,0)),""))</f>
        <v/>
      </c>
      <c r="D477" s="25" t="n"/>
      <c r="E477" s="25" t="n"/>
      <c r="F477" s="25" t="n"/>
      <c r="G477" s="35" t="n"/>
    </row>
    <row r="478">
      <c r="A478" s="35" t="n"/>
      <c r="B478" s="25" t="n"/>
      <c r="C478" s="25">
        <f>IF($B478="","",IFERROR(INDEX('HỌC VIÊN'!$B$4:$B$203,MATCH($B478,'HỌC VIÊN'!$A$4:$A$203,0)),""))</f>
        <v/>
      </c>
      <c r="D478" s="25" t="n"/>
      <c r="E478" s="25" t="n"/>
      <c r="F478" s="25" t="n"/>
      <c r="G478" s="35" t="n"/>
    </row>
    <row r="479">
      <c r="A479" s="35" t="n"/>
      <c r="B479" s="25" t="n"/>
      <c r="C479" s="25">
        <f>IF($B479="","",IFERROR(INDEX('HỌC VIÊN'!$B$4:$B$203,MATCH($B479,'HỌC VIÊN'!$A$4:$A$203,0)),""))</f>
        <v/>
      </c>
      <c r="D479" s="25" t="n"/>
      <c r="E479" s="25" t="n"/>
      <c r="F479" s="25" t="n"/>
      <c r="G479" s="35" t="n"/>
    </row>
    <row r="480">
      <c r="A480" s="35" t="n"/>
      <c r="B480" s="25" t="n"/>
      <c r="C480" s="25">
        <f>IF($B480="","",IFERROR(INDEX('HỌC VIÊN'!$B$4:$B$203,MATCH($B480,'HỌC VIÊN'!$A$4:$A$203,0)),""))</f>
        <v/>
      </c>
      <c r="D480" s="25" t="n"/>
      <c r="E480" s="25" t="n"/>
      <c r="F480" s="25" t="n"/>
      <c r="G480" s="35" t="n"/>
    </row>
    <row r="481">
      <c r="A481" s="35" t="n"/>
      <c r="B481" s="25" t="n"/>
      <c r="C481" s="25">
        <f>IF($B481="","",IFERROR(INDEX('HỌC VIÊN'!$B$4:$B$203,MATCH($B481,'HỌC VIÊN'!$A$4:$A$203,0)),""))</f>
        <v/>
      </c>
      <c r="D481" s="25" t="n"/>
      <c r="E481" s="25" t="n"/>
      <c r="F481" s="25" t="n"/>
      <c r="G481" s="35" t="n"/>
    </row>
    <row r="482">
      <c r="A482" s="35" t="n"/>
      <c r="B482" s="25" t="n"/>
      <c r="C482" s="25">
        <f>IF($B482="","",IFERROR(INDEX('HỌC VIÊN'!$B$4:$B$203,MATCH($B482,'HỌC VIÊN'!$A$4:$A$203,0)),""))</f>
        <v/>
      </c>
      <c r="D482" s="25" t="n"/>
      <c r="E482" s="25" t="n"/>
      <c r="F482" s="25" t="n"/>
      <c r="G482" s="35" t="n"/>
    </row>
    <row r="483">
      <c r="A483" s="35" t="n"/>
      <c r="B483" s="25" t="n"/>
      <c r="C483" s="25">
        <f>IF($B483="","",IFERROR(INDEX('HỌC VIÊN'!$B$4:$B$203,MATCH($B483,'HỌC VIÊN'!$A$4:$A$203,0)),""))</f>
        <v/>
      </c>
      <c r="D483" s="25" t="n"/>
      <c r="E483" s="25" t="n"/>
      <c r="F483" s="25" t="n"/>
      <c r="G483" s="35" t="n"/>
    </row>
    <row r="484">
      <c r="A484" s="35" t="n"/>
      <c r="B484" s="25" t="n"/>
      <c r="C484" s="25">
        <f>IF($B484="","",IFERROR(INDEX('HỌC VIÊN'!$B$4:$B$203,MATCH($B484,'HỌC VIÊN'!$A$4:$A$203,0)),""))</f>
        <v/>
      </c>
      <c r="D484" s="25" t="n"/>
      <c r="E484" s="25" t="n"/>
      <c r="F484" s="25" t="n"/>
      <c r="G484" s="35" t="n"/>
    </row>
    <row r="485">
      <c r="A485" s="35" t="n"/>
      <c r="B485" s="25" t="n"/>
      <c r="C485" s="25">
        <f>IF($B485="","",IFERROR(INDEX('HỌC VIÊN'!$B$4:$B$203,MATCH($B485,'HỌC VIÊN'!$A$4:$A$203,0)),""))</f>
        <v/>
      </c>
      <c r="D485" s="25" t="n"/>
      <c r="E485" s="25" t="n"/>
      <c r="F485" s="25" t="n"/>
      <c r="G485" s="35" t="n"/>
    </row>
    <row r="486">
      <c r="A486" s="35" t="n"/>
      <c r="B486" s="25" t="n"/>
      <c r="C486" s="25">
        <f>IF($B486="","",IFERROR(INDEX('HỌC VIÊN'!$B$4:$B$203,MATCH($B486,'HỌC VIÊN'!$A$4:$A$203,0)),""))</f>
        <v/>
      </c>
      <c r="D486" s="25" t="n"/>
      <c r="E486" s="25" t="n"/>
      <c r="F486" s="25" t="n"/>
      <c r="G486" s="35" t="n"/>
    </row>
    <row r="487">
      <c r="A487" s="35" t="n"/>
      <c r="B487" s="25" t="n"/>
      <c r="C487" s="25">
        <f>IF($B487="","",IFERROR(INDEX('HỌC VIÊN'!$B$4:$B$203,MATCH($B487,'HỌC VIÊN'!$A$4:$A$203,0)),""))</f>
        <v/>
      </c>
      <c r="D487" s="25" t="n"/>
      <c r="E487" s="25" t="n"/>
      <c r="F487" s="25" t="n"/>
      <c r="G487" s="35" t="n"/>
    </row>
    <row r="488">
      <c r="A488" s="35" t="n"/>
      <c r="B488" s="25" t="n"/>
      <c r="C488" s="25">
        <f>IF($B488="","",IFERROR(INDEX('HỌC VIÊN'!$B$4:$B$203,MATCH($B488,'HỌC VIÊN'!$A$4:$A$203,0)),""))</f>
        <v/>
      </c>
      <c r="D488" s="25" t="n"/>
      <c r="E488" s="25" t="n"/>
      <c r="F488" s="25" t="n"/>
      <c r="G488" s="35" t="n"/>
    </row>
    <row r="489">
      <c r="A489" s="35" t="n"/>
      <c r="B489" s="25" t="n"/>
      <c r="C489" s="25">
        <f>IF($B489="","",IFERROR(INDEX('HỌC VIÊN'!$B$4:$B$203,MATCH($B489,'HỌC VIÊN'!$A$4:$A$203,0)),""))</f>
        <v/>
      </c>
      <c r="D489" s="25" t="n"/>
      <c r="E489" s="25" t="n"/>
      <c r="F489" s="25" t="n"/>
      <c r="G489" s="35" t="n"/>
    </row>
    <row r="490">
      <c r="A490" s="35" t="n"/>
      <c r="B490" s="25" t="n"/>
      <c r="C490" s="25">
        <f>IF($B490="","",IFERROR(INDEX('HỌC VIÊN'!$B$4:$B$203,MATCH($B490,'HỌC VIÊN'!$A$4:$A$203,0)),""))</f>
        <v/>
      </c>
      <c r="D490" s="25" t="n"/>
      <c r="E490" s="25" t="n"/>
      <c r="F490" s="25" t="n"/>
      <c r="G490" s="35" t="n"/>
    </row>
    <row r="491">
      <c r="A491" s="35" t="n"/>
      <c r="B491" s="25" t="n"/>
      <c r="C491" s="25">
        <f>IF($B491="","",IFERROR(INDEX('HỌC VIÊN'!$B$4:$B$203,MATCH($B491,'HỌC VIÊN'!$A$4:$A$203,0)),""))</f>
        <v/>
      </c>
      <c r="D491" s="25" t="n"/>
      <c r="E491" s="25" t="n"/>
      <c r="F491" s="25" t="n"/>
      <c r="G491" s="35" t="n"/>
    </row>
    <row r="492">
      <c r="A492" s="35" t="n"/>
      <c r="B492" s="25" t="n"/>
      <c r="C492" s="25">
        <f>IF($B492="","",IFERROR(INDEX('HỌC VIÊN'!$B$4:$B$203,MATCH($B492,'HỌC VIÊN'!$A$4:$A$203,0)),""))</f>
        <v/>
      </c>
      <c r="D492" s="25" t="n"/>
      <c r="E492" s="25" t="n"/>
      <c r="F492" s="25" t="n"/>
      <c r="G492" s="35" t="n"/>
    </row>
    <row r="493">
      <c r="A493" s="35" t="n"/>
      <c r="B493" s="25" t="n"/>
      <c r="C493" s="25">
        <f>IF($B493="","",IFERROR(INDEX('HỌC VIÊN'!$B$4:$B$203,MATCH($B493,'HỌC VIÊN'!$A$4:$A$203,0)),""))</f>
        <v/>
      </c>
      <c r="D493" s="25" t="n"/>
      <c r="E493" s="25" t="n"/>
      <c r="F493" s="25" t="n"/>
      <c r="G493" s="35" t="n"/>
    </row>
    <row r="494">
      <c r="A494" s="35" t="n"/>
      <c r="B494" s="25" t="n"/>
      <c r="C494" s="25">
        <f>IF($B494="","",IFERROR(INDEX('HỌC VIÊN'!$B$4:$B$203,MATCH($B494,'HỌC VIÊN'!$A$4:$A$203,0)),""))</f>
        <v/>
      </c>
      <c r="D494" s="25" t="n"/>
      <c r="E494" s="25" t="n"/>
      <c r="F494" s="25" t="n"/>
      <c r="G494" s="35" t="n"/>
    </row>
    <row r="495">
      <c r="A495" s="35" t="n"/>
      <c r="B495" s="25" t="n"/>
      <c r="C495" s="25">
        <f>IF($B495="","",IFERROR(INDEX('HỌC VIÊN'!$B$4:$B$203,MATCH($B495,'HỌC VIÊN'!$A$4:$A$203,0)),""))</f>
        <v/>
      </c>
      <c r="D495" s="25" t="n"/>
      <c r="E495" s="25" t="n"/>
      <c r="F495" s="25" t="n"/>
      <c r="G495" s="35" t="n"/>
    </row>
    <row r="496">
      <c r="A496" s="35" t="n"/>
      <c r="B496" s="25" t="n"/>
      <c r="C496" s="25">
        <f>IF($B496="","",IFERROR(INDEX('HỌC VIÊN'!$B$4:$B$203,MATCH($B496,'HỌC VIÊN'!$A$4:$A$203,0)),""))</f>
        <v/>
      </c>
      <c r="D496" s="25" t="n"/>
      <c r="E496" s="25" t="n"/>
      <c r="F496" s="25" t="n"/>
      <c r="G496" s="35" t="n"/>
    </row>
    <row r="497">
      <c r="A497" s="35" t="n"/>
      <c r="B497" s="25" t="n"/>
      <c r="C497" s="25">
        <f>IF($B497="","",IFERROR(INDEX('HỌC VIÊN'!$B$4:$B$203,MATCH($B497,'HỌC VIÊN'!$A$4:$A$203,0)),""))</f>
        <v/>
      </c>
      <c r="D497" s="25" t="n"/>
      <c r="E497" s="25" t="n"/>
      <c r="F497" s="25" t="n"/>
      <c r="G497" s="35" t="n"/>
    </row>
    <row r="498">
      <c r="A498" s="35" t="n"/>
      <c r="B498" s="25" t="n"/>
      <c r="C498" s="25">
        <f>IF($B498="","",IFERROR(INDEX('HỌC VIÊN'!$B$4:$B$203,MATCH($B498,'HỌC VIÊN'!$A$4:$A$203,0)),""))</f>
        <v/>
      </c>
      <c r="D498" s="25" t="n"/>
      <c r="E498" s="25" t="n"/>
      <c r="F498" s="25" t="n"/>
      <c r="G498" s="35" t="n"/>
    </row>
    <row r="499">
      <c r="A499" s="35" t="n"/>
      <c r="B499" s="25" t="n"/>
      <c r="C499" s="25">
        <f>IF($B499="","",IFERROR(INDEX('HỌC VIÊN'!$B$4:$B$203,MATCH($B499,'HỌC VIÊN'!$A$4:$A$203,0)),""))</f>
        <v/>
      </c>
      <c r="D499" s="25" t="n"/>
      <c r="E499" s="25" t="n"/>
      <c r="F499" s="25" t="n"/>
      <c r="G499" s="35" t="n"/>
    </row>
    <row r="500">
      <c r="A500" s="35" t="n"/>
      <c r="B500" s="25" t="n"/>
      <c r="C500" s="25">
        <f>IF($B500="","",IFERROR(INDEX('HỌC VIÊN'!$B$4:$B$203,MATCH($B500,'HỌC VIÊN'!$A$4:$A$203,0)),""))</f>
        <v/>
      </c>
      <c r="D500" s="25" t="n"/>
      <c r="E500" s="25" t="n"/>
      <c r="F500" s="25" t="n"/>
      <c r="G500" s="35" t="n"/>
    </row>
    <row r="501">
      <c r="A501" s="35" t="n"/>
      <c r="B501" s="25" t="n"/>
      <c r="C501" s="25">
        <f>IF($B501="","",IFERROR(INDEX('HỌC VIÊN'!$B$4:$B$203,MATCH($B501,'HỌC VIÊN'!$A$4:$A$203,0)),""))</f>
        <v/>
      </c>
      <c r="D501" s="25" t="n"/>
      <c r="E501" s="25" t="n"/>
      <c r="F501" s="25" t="n"/>
      <c r="G501" s="35" t="n"/>
    </row>
    <row r="502">
      <c r="A502" s="35" t="n"/>
      <c r="B502" s="25" t="n"/>
      <c r="C502" s="25">
        <f>IF($B502="","",IFERROR(INDEX('HỌC VIÊN'!$B$4:$B$203,MATCH($B502,'HỌC VIÊN'!$A$4:$A$203,0)),""))</f>
        <v/>
      </c>
      <c r="D502" s="25" t="n"/>
      <c r="E502" s="25" t="n"/>
      <c r="F502" s="25" t="n"/>
      <c r="G502" s="35" t="n"/>
    </row>
  </sheetData>
  <autoFilter ref="A2:G502"/>
  <mergeCells count="1">
    <mergeCell ref="A1:G1"/>
  </mergeCells>
  <conditionalFormatting sqref="A3:G502">
    <cfRule type="expression" priority="1" dxfId="3" stopIfTrue="0">
      <formula>ISEVEN(ROW())</formula>
    </cfRule>
  </conditionalFormatting>
  <dataValidations count="1">
    <dataValidation sqref="D3:D502" showDropDown="0" showInputMessage="0" showErrorMessage="0" allowBlank="1" type="list">
      <formula1>=DANHMUC!$H$2:$H$5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7E6E6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40" customWidth="1" min="4" max="4"/>
    <col width="14" customWidth="1" min="5" max="5"/>
  </cols>
  <sheetData>
    <row r="1">
      <c r="A1" s="48" t="inlineStr">
        <is>
          <t>Timestamp</t>
        </is>
      </c>
      <c r="B1" s="48" t="inlineStr">
        <is>
          <t>Lớp</t>
        </is>
      </c>
      <c r="C1" s="48" t="inlineStr">
        <is>
          <t>Ngày buổi học</t>
        </is>
      </c>
      <c r="D1" s="48" t="inlineStr">
        <is>
          <t>Học viên vắng</t>
        </is>
      </c>
      <c r="E1" s="48" t="inlineStr">
        <is>
          <t>Giáo viên</t>
        </is>
      </c>
    </row>
    <row r="2">
      <c r="A2" s="49" t="inlineStr">
        <is>
          <t>10/08/2026 20:05:00</t>
        </is>
      </c>
      <c r="B2" s="49" t="inlineStr">
        <is>
          <t>TOEIC-A1</t>
        </is>
      </c>
      <c r="C2" s="50" t="n">
        <v>46244</v>
      </c>
      <c r="D2" s="49" t="inlineStr">
        <is>
          <t>ORI001 - Trần Thị B</t>
        </is>
      </c>
      <c r="E2" s="49" t="inlineStr">
        <is>
          <t>Ms. Lan</t>
        </is>
      </c>
    </row>
    <row r="4">
      <c r="A4" s="51" t="inlineStr">
        <is>
          <t>⚠️ Đây là tab MẪU. Khi nối Google Form, xóa tab này và đổi tên tab phản hồi của Form thành 'LOG VẮNG'.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7E6E6"/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48" t="inlineStr">
        <is>
          <t>Trạng thái</t>
        </is>
      </c>
      <c r="B1" s="48" t="inlineStr">
        <is>
          <t>Học phí tháng</t>
        </is>
      </c>
      <c r="C1" s="48" t="inlineStr">
        <is>
          <t>Gói học</t>
        </is>
      </c>
      <c r="D1" s="48" t="inlineStr">
        <is>
          <t>Level</t>
        </is>
      </c>
      <c r="E1" s="48" t="inlineStr">
        <is>
          <t>Nguồn</t>
        </is>
      </c>
      <c r="F1" s="48" t="inlineStr">
        <is>
          <t>Kết quả học thử</t>
        </is>
      </c>
      <c r="G1" s="48" t="inlineStr">
        <is>
          <t>Tình trạng phí</t>
        </is>
      </c>
      <c r="H1" s="48" t="inlineStr">
        <is>
          <t>Kênh CSKH</t>
        </is>
      </c>
      <c r="I1" s="48" t="inlineStr">
        <is>
          <t>Lớp</t>
        </is>
      </c>
      <c r="J1" s="48" t="inlineStr">
        <is>
          <t>Giáo viên</t>
        </is>
      </c>
    </row>
    <row r="2">
      <c r="A2" s="25" t="inlineStr">
        <is>
          <t>Đang học</t>
        </is>
      </c>
      <c r="B2" s="25" t="inlineStr">
        <is>
          <t>Đã đóng</t>
        </is>
      </c>
      <c r="C2" s="25" t="inlineStr">
        <is>
          <t>TOEIC Foundation</t>
        </is>
      </c>
      <c r="D2" s="25" t="inlineStr">
        <is>
          <t>Foundation</t>
        </is>
      </c>
      <c r="E2" s="25" t="inlineStr">
        <is>
          <t>Facebook</t>
        </is>
      </c>
      <c r="F2" s="25" t="inlineStr">
        <is>
          <t>Đã đăng ký</t>
        </is>
      </c>
      <c r="G2" s="25" t="inlineStr">
        <is>
          <t>Đã đóng</t>
        </is>
      </c>
      <c r="H2" s="25" t="inlineStr">
        <is>
          <t>Gọi điện</t>
        </is>
      </c>
      <c r="I2" s="25" t="inlineStr">
        <is>
          <t>TOEIC-A1</t>
        </is>
      </c>
      <c r="J2" s="25" t="inlineStr">
        <is>
          <t>Ms. Lan</t>
        </is>
      </c>
    </row>
    <row r="3">
      <c r="A3" s="25" t="inlineStr">
        <is>
          <t>Bảo lưu</t>
        </is>
      </c>
      <c r="B3" s="25" t="inlineStr">
        <is>
          <t>Chưa đóng</t>
        </is>
      </c>
      <c r="C3" s="25" t="inlineStr">
        <is>
          <t>TOEIC 350+</t>
        </is>
      </c>
      <c r="D3" s="25" t="inlineStr">
        <is>
          <t>Pre-TOEIC</t>
        </is>
      </c>
      <c r="E3" s="25" t="inlineStr">
        <is>
          <t>Zalo</t>
        </is>
      </c>
      <c r="F3" s="25" t="inlineStr">
        <is>
          <t>Đang cân nhắc</t>
        </is>
      </c>
      <c r="G3" s="25" t="inlineStr">
        <is>
          <t>Còn nợ</t>
        </is>
      </c>
      <c r="H3" s="25" t="inlineStr">
        <is>
          <t>Zalo</t>
        </is>
      </c>
      <c r="I3" s="25" t="inlineStr">
        <is>
          <t>TOEIC-A2</t>
        </is>
      </c>
      <c r="J3" s="25" t="inlineStr">
        <is>
          <t>Ms. Hà</t>
        </is>
      </c>
    </row>
    <row r="4">
      <c r="A4" s="25" t="inlineStr">
        <is>
          <t>Tạm dừng</t>
        </is>
      </c>
      <c r="B4" s="25" t="inlineStr">
        <is>
          <t>Nhắc đóng</t>
        </is>
      </c>
      <c r="C4" s="25" t="inlineStr">
        <is>
          <t>TOEIC 500+</t>
        </is>
      </c>
      <c r="D4" s="25" t="inlineStr">
        <is>
          <t>Level 1</t>
        </is>
      </c>
      <c r="E4" s="25" t="inlineStr">
        <is>
          <t>Giới thiệu</t>
        </is>
      </c>
      <c r="F4" s="25" t="inlineStr">
        <is>
          <t>Không đăng ký</t>
        </is>
      </c>
      <c r="H4" s="25" t="inlineStr">
        <is>
          <t>Gặp trực tiếp</t>
        </is>
      </c>
      <c r="I4" s="25" t="inlineStr">
        <is>
          <t>TOEIC-B1</t>
        </is>
      </c>
      <c r="J4" s="25" t="inlineStr">
        <is>
          <t>Mr. Tuấn</t>
        </is>
      </c>
    </row>
    <row r="5">
      <c r="A5" s="25" t="inlineStr">
        <is>
          <t>Học xong</t>
        </is>
      </c>
      <c r="B5" s="25" t="inlineStr">
        <is>
          <t>Chưa tới</t>
        </is>
      </c>
      <c r="C5" s="25" t="inlineStr">
        <is>
          <t>TOEIC 650+</t>
        </is>
      </c>
      <c r="D5" s="25" t="inlineStr">
        <is>
          <t>Level 2</t>
        </is>
      </c>
      <c r="E5" s="25" t="inlineStr">
        <is>
          <t>Vãng lai</t>
        </is>
      </c>
      <c r="F5" s="25" t="inlineStr">
        <is>
          <t>Chưa liên hệ</t>
        </is>
      </c>
      <c r="H5" s="25" t="inlineStr">
        <is>
          <t>SMS/Nhắn tin</t>
        </is>
      </c>
      <c r="I5" s="25" t="inlineStr">
        <is>
          <t>GIAOTIEP-1</t>
        </is>
      </c>
      <c r="J5" s="25" t="inlineStr">
        <is>
          <t>Mr. Nam</t>
        </is>
      </c>
    </row>
    <row r="6">
      <c r="A6" s="25" t="inlineStr">
        <is>
          <t>Nghỉ học</t>
        </is>
      </c>
      <c r="C6" s="25" t="inlineStr">
        <is>
          <t>TOEIC 800+</t>
        </is>
      </c>
      <c r="D6" s="25" t="inlineStr">
        <is>
          <t>Level 3</t>
        </is>
      </c>
      <c r="E6" s="25" t="inlineStr">
        <is>
          <t>Website</t>
        </is>
      </c>
      <c r="I6" s="25" t="inlineStr">
        <is>
          <t>GIAOTIEP-2</t>
        </is>
      </c>
      <c r="J6" s="25" t="inlineStr">
        <is>
          <t>Ms. Trang</t>
        </is>
      </c>
    </row>
    <row r="7">
      <c r="C7" s="25" t="inlineStr">
        <is>
          <t>Giao tiếp cơ bản</t>
        </is>
      </c>
      <c r="D7" s="25" t="inlineStr">
        <is>
          <t>Level 4</t>
        </is>
      </c>
      <c r="E7" s="25" t="inlineStr">
        <is>
          <t>TikTok</t>
        </is>
      </c>
      <c r="I7" s="25" t="inlineStr">
        <is>
          <t>IELTS-1</t>
        </is>
      </c>
    </row>
    <row r="8">
      <c r="C8" s="25" t="inlineStr">
        <is>
          <t>Giao tiếp nâng cao</t>
        </is>
      </c>
      <c r="D8" s="25" t="inlineStr">
        <is>
          <t>Level 5</t>
        </is>
      </c>
      <c r="E8" s="25" t="inlineStr">
        <is>
          <t>Khác</t>
        </is>
      </c>
      <c r="I8" s="25" t="inlineStr">
        <is>
          <t>KEM-1-1</t>
        </is>
      </c>
    </row>
    <row r="9">
      <c r="C9" s="25" t="inlineStr">
        <is>
          <t>IELTS</t>
        </is>
      </c>
      <c r="D9" s="25" t="inlineStr">
        <is>
          <t>Level 6</t>
        </is>
      </c>
    </row>
    <row r="10">
      <c r="C10" s="25" t="inlineStr">
        <is>
          <t>Kèm 1-1</t>
        </is>
      </c>
      <c r="D10" s="25" t="inlineStr">
        <is>
          <t>Tốt nghiệp</t>
        </is>
      </c>
    </row>
    <row r="16">
      <c r="A16" s="52" t="inlineStr">
        <is>
          <t>⬅ Sửa/thêm lựa chọn tại đây; mọi dropdown trong file tự cập nhật theo.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2026-08-11T02:06:28Z</dcterms:created>
  <dcterms:modified xsi:type="dcterms:W3CDTF">2026-08-11T02:06:29Z</dcterms:modified>
</cp:coreProperties>
</file>